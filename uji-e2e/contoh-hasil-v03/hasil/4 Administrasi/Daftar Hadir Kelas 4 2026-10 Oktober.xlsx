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ktober 2026" sheetId="1" r:id="rId1"/>
  </sheets>
  <definedNames>
    <definedName name="_xlnm.Print_Titles" localSheetId="0">'Oktober 2026'!$5:$7</definedName>
  </definedNames>
  <calcPr calcId="191029" fullCalcOnLoad="1"/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4"/>
      <name val="Arial"/>
    </font>
    <font>
      <b/>
      <sz val="10"/>
      <name val="Arial"/>
    </font>
    <font>
      <i/>
      <sz val="9"/>
      <color rgb="FF595959"/>
      <name val="Arial"/>
    </font>
    <font>
      <b/>
      <sz val="11"/>
      <name val="Arial"/>
    </font>
    <font>
      <b/>
      <u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9E5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0" fillId="3" borderId="1" xfId="0" applyFill="1" applyBorder="1" applyAlignment="1" applyProtection="1">
      <alignment horizontal="center" vertical="center"/>
      <protection locked="0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bgColor rgb="FFFFE699"/>
        </patternFill>
      </fill>
    </dxf>
    <dxf>
      <fill>
        <patternFill patternType="solid">
          <bgColor rgb="FFBDD7EE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color rgb="FF9C0006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 zoomScale="100">
      <pane xSplit="2" ySplit="7" topLeftCell="C8" activePane="bottomRight" state="frozen"/>
      <selection pane="bottomRight"/>
    </sheetView>
  </sheetViews>
  <sheetFormatPr defaultRowHeight="15"/>
  <cols>
    <col min="1" max="1" width="4.5" customWidth="1"/>
    <col min="2" max="2" width="26" customWidth="1"/>
    <col min="3" max="3" width="3.6" customWidth="1"/>
    <col min="4" max="4" width="3.6" customWidth="1"/>
    <col min="5" max="5" width="3.6" customWidth="1"/>
    <col min="6" max="6" width="3.6" customWidth="1"/>
    <col min="7" max="7" width="3.6" customWidth="1"/>
    <col min="8" max="8" width="3.6" customWidth="1"/>
    <col min="9" max="9" width="3.6" customWidth="1"/>
    <col min="10" max="10" width="3.6" customWidth="1"/>
    <col min="11" max="11" width="3.6" customWidth="1"/>
    <col min="12" max="12" width="3.6" customWidth="1"/>
    <col min="13" max="13" width="3.6" customWidth="1"/>
    <col min="14" max="14" width="3.6" customWidth="1"/>
    <col min="15" max="15" width="3.6" customWidth="1"/>
    <col min="16" max="16" width="3.6" customWidth="1"/>
    <col min="17" max="17" width="3.6" customWidth="1"/>
    <col min="18" max="18" width="3.6" customWidth="1"/>
    <col min="19" max="19" width="3.6" customWidth="1"/>
    <col min="20" max="20" width="3.6" customWidth="1"/>
    <col min="21" max="21" width="3.6" customWidth="1"/>
    <col min="22" max="22" width="3.6" customWidth="1"/>
    <col min="23" max="23" width="3.6" customWidth="1"/>
    <col min="24" max="24" width="3.6" customWidth="1"/>
    <col min="25" max="25" width="4.5" customWidth="1"/>
    <col min="26" max="26" width="4.5" customWidth="1"/>
    <col min="27" max="27" width="4.5" customWidth="1"/>
    <col min="28" max="28" width="4.5" customWidth="1"/>
    <col min="29" max="29" width="9.5" customWidth="1"/>
  </cols>
  <sheetData>
    <row r="1">
      <c r="A1" s="11" t="inlineStr">
        <is>
          <t xml:space="preserve">SDIT AL HIKMAH</t>
        </is>
      </c>
    </row>
    <row r="2" ht="22" customHeight="1">
      <c r="A2" s="10" t="inlineStr">
        <is>
          <t xml:space="preserve">DAFTAR HADIR SISWA</t>
        </is>
      </c>
    </row>
    <row r="3">
      <c r="A3" s="13" t="inlineStr">
        <is>
          <t xml:space="preserve">Kelas 4  ·  Oktober 2026  ·  Tahun Ajaran 2026/2027</t>
        </is>
      </c>
    </row>
    <row r="4"/>
    <row r="5">
      <c r="A5" s="2" t="inlineStr">
        <is>
          <t xml:space="preserve">No</t>
        </is>
      </c>
      <c r="B5" s="2" t="inlineStr">
        <is>
          <t xml:space="preserve">Nama Siswa</t>
        </is>
      </c>
      <c r="C5" s="2" t="inlineStr">
        <is>
          <t xml:space="preserve">Tanggal</t>
        </is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 t="inlineStr">
        <is>
          <t xml:space="preserve">Rekap</t>
        </is>
      </c>
      <c r="Z5" s="2"/>
      <c r="AA5" s="2"/>
      <c r="AB5" s="2"/>
      <c r="AC5" s="2"/>
    </row>
    <row r="6">
      <c r="A6" s="2"/>
      <c r="B6" s="2"/>
      <c r="C6" s="2">
        <v>1</v>
      </c>
      <c r="D6" s="2">
        <v>2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12</v>
      </c>
      <c r="K6" s="2">
        <v>13</v>
      </c>
      <c r="L6" s="2">
        <v>14</v>
      </c>
      <c r="M6" s="2">
        <v>15</v>
      </c>
      <c r="N6" s="2">
        <v>16</v>
      </c>
      <c r="O6" s="2">
        <v>19</v>
      </c>
      <c r="P6" s="2">
        <v>20</v>
      </c>
      <c r="Q6" s="2">
        <v>21</v>
      </c>
      <c r="R6" s="2">
        <v>22</v>
      </c>
      <c r="S6" s="2">
        <v>23</v>
      </c>
      <c r="T6" s="2">
        <v>26</v>
      </c>
      <c r="U6" s="2">
        <v>27</v>
      </c>
      <c r="V6" s="2">
        <v>28</v>
      </c>
      <c r="W6" s="2">
        <v>29</v>
      </c>
      <c r="X6" s="2">
        <v>30</v>
      </c>
      <c r="Y6" s="2" t="inlineStr">
        <is>
          <t xml:space="preserve">S</t>
        </is>
      </c>
      <c r="Z6" s="2" t="inlineStr">
        <is>
          <t xml:space="preserve">I</t>
        </is>
      </c>
      <c r="AA6" s="2" t="inlineStr">
        <is>
          <t xml:space="preserve">A</t>
        </is>
      </c>
      <c r="AB6" s="2" t="inlineStr">
        <is>
          <t xml:space="preserve">H</t>
        </is>
      </c>
      <c r="AC6" s="2" t="inlineStr">
        <is>
          <t xml:space="preserve">% Hadir</t>
        </is>
      </c>
    </row>
    <row r="7">
      <c r="A7" s="2"/>
      <c r="B7" s="2"/>
      <c r="C7" s="2" t="inlineStr">
        <is>
          <t xml:space="preserve">Kam</t>
        </is>
      </c>
      <c r="D7" s="2" t="inlineStr">
        <is>
          <t xml:space="preserve">Jum</t>
        </is>
      </c>
      <c r="E7" s="2" t="inlineStr">
        <is>
          <t xml:space="preserve">Sen</t>
        </is>
      </c>
      <c r="F7" s="2" t="inlineStr">
        <is>
          <t xml:space="preserve">Sel</t>
        </is>
      </c>
      <c r="G7" s="2" t="inlineStr">
        <is>
          <t xml:space="preserve">Rab</t>
        </is>
      </c>
      <c r="H7" s="2" t="inlineStr">
        <is>
          <t xml:space="preserve">Kam</t>
        </is>
      </c>
      <c r="I7" s="2" t="inlineStr">
        <is>
          <t xml:space="preserve">Jum</t>
        </is>
      </c>
      <c r="J7" s="2" t="inlineStr">
        <is>
          <t xml:space="preserve">Sen</t>
        </is>
      </c>
      <c r="K7" s="2" t="inlineStr">
        <is>
          <t xml:space="preserve">Sel</t>
        </is>
      </c>
      <c r="L7" s="2" t="inlineStr">
        <is>
          <t xml:space="preserve">Rab</t>
        </is>
      </c>
      <c r="M7" s="2" t="inlineStr">
        <is>
          <t xml:space="preserve">Kam</t>
        </is>
      </c>
      <c r="N7" s="2" t="inlineStr">
        <is>
          <t xml:space="preserve">Jum</t>
        </is>
      </c>
      <c r="O7" s="2" t="inlineStr">
        <is>
          <t xml:space="preserve">Sen</t>
        </is>
      </c>
      <c r="P7" s="2" t="inlineStr">
        <is>
          <t xml:space="preserve">Sel</t>
        </is>
      </c>
      <c r="Q7" s="2" t="inlineStr">
        <is>
          <t xml:space="preserve">Rab</t>
        </is>
      </c>
      <c r="R7" s="2" t="inlineStr">
        <is>
          <t xml:space="preserve">Kam</t>
        </is>
      </c>
      <c r="S7" s="2" t="inlineStr">
        <is>
          <t xml:space="preserve">Jum</t>
        </is>
      </c>
      <c r="T7" s="2" t="inlineStr">
        <is>
          <t xml:space="preserve">Sen</t>
        </is>
      </c>
      <c r="U7" s="2" t="inlineStr">
        <is>
          <t xml:space="preserve">Sel</t>
        </is>
      </c>
      <c r="V7" s="2" t="inlineStr">
        <is>
          <t xml:space="preserve">Rab</t>
        </is>
      </c>
      <c r="W7" s="2" t="inlineStr">
        <is>
          <t xml:space="preserve">Kam</t>
        </is>
      </c>
      <c r="X7" s="2" t="inlineStr">
        <is>
          <t xml:space="preserve">Jum</t>
        </is>
      </c>
      <c r="Y7" s="2"/>
      <c r="Z7" s="2"/>
      <c r="AA7" s="2"/>
      <c r="AB7" s="2"/>
      <c r="AC7" s="2"/>
    </row>
    <row r="8">
      <c r="A8" s="4">
        <v>1</v>
      </c>
      <c r="B8" s="9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4">
        <f>IF($B8="","",COUNTIF(C8:X8,"S"))</f>
      </c>
      <c r="Z8" s="4">
        <f>IF($B8="","",COUNTIF(C8:X8,"I"))</f>
      </c>
      <c r="AA8" s="4">
        <f>IF($B8="","",COUNTIF(C8:X8,"A"))</f>
      </c>
      <c r="AB8" s="4">
        <f>IF($B8="","",22-Y8-Z8-AA8)</f>
      </c>
      <c r="AC8" s="7">
        <f>IF($B8="","",AB8/22)</f>
      </c>
    </row>
    <row r="9">
      <c r="A9" s="4">
        <v>2</v>
      </c>
      <c r="B9" s="9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4">
        <f>IF($B9="","",COUNTIF(C9:X9,"S"))</f>
      </c>
      <c r="Z9" s="4">
        <f>IF($B9="","",COUNTIF(C9:X9,"I"))</f>
      </c>
      <c r="AA9" s="4">
        <f>IF($B9="","",COUNTIF(C9:X9,"A"))</f>
      </c>
      <c r="AB9" s="4">
        <f>IF($B9="","",22-Y9-Z9-AA9)</f>
      </c>
      <c r="AC9" s="7">
        <f>IF($B9="","",AB9/22)</f>
      </c>
    </row>
    <row r="10">
      <c r="A10" s="4">
        <v>3</v>
      </c>
      <c r="B10" s="9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4">
        <f>IF($B10="","",COUNTIF(C10:X10,"S"))</f>
      </c>
      <c r="Z10" s="4">
        <f>IF($B10="","",COUNTIF(C10:X10,"I"))</f>
      </c>
      <c r="AA10" s="4">
        <f>IF($B10="","",COUNTIF(C10:X10,"A"))</f>
      </c>
      <c r="AB10" s="4">
        <f>IF($B10="","",22-Y10-Z10-AA10)</f>
      </c>
      <c r="AC10" s="7">
        <f>IF($B10="","",AB10/22)</f>
      </c>
    </row>
    <row r="11">
      <c r="A11" s="4">
        <v>4</v>
      </c>
      <c r="B11" s="9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4">
        <f>IF($B11="","",COUNTIF(C11:X11,"S"))</f>
      </c>
      <c r="Z11" s="4">
        <f>IF($B11="","",COUNTIF(C11:X11,"I"))</f>
      </c>
      <c r="AA11" s="4">
        <f>IF($B11="","",COUNTIF(C11:X11,"A"))</f>
      </c>
      <c r="AB11" s="4">
        <f>IF($B11="","",22-Y11-Z11-AA11)</f>
      </c>
      <c r="AC11" s="7">
        <f>IF($B11="","",AB11/22)</f>
      </c>
    </row>
    <row r="12">
      <c r="A12" s="4">
        <v>5</v>
      </c>
      <c r="B12" s="9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4">
        <f>IF($B12="","",COUNTIF(C12:X12,"S"))</f>
      </c>
      <c r="Z12" s="4">
        <f>IF($B12="","",COUNTIF(C12:X12,"I"))</f>
      </c>
      <c r="AA12" s="4">
        <f>IF($B12="","",COUNTIF(C12:X12,"A"))</f>
      </c>
      <c r="AB12" s="4">
        <f>IF($B12="","",22-Y12-Z12-AA12)</f>
      </c>
      <c r="AC12" s="7">
        <f>IF($B12="","",AB12/22)</f>
      </c>
    </row>
    <row r="13">
      <c r="A13" s="4">
        <v>6</v>
      </c>
      <c r="B13" s="9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4">
        <f>IF($B13="","",COUNTIF(C13:X13,"S"))</f>
      </c>
      <c r="Z13" s="4">
        <f>IF($B13="","",COUNTIF(C13:X13,"I"))</f>
      </c>
      <c r="AA13" s="4">
        <f>IF($B13="","",COUNTIF(C13:X13,"A"))</f>
      </c>
      <c r="AB13" s="4">
        <f>IF($B13="","",22-Y13-Z13-AA13)</f>
      </c>
      <c r="AC13" s="7">
        <f>IF($B13="","",AB13/22)</f>
      </c>
    </row>
    <row r="14">
      <c r="A14" s="4">
        <v>7</v>
      </c>
      <c r="B14" s="9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4">
        <f>IF($B14="","",COUNTIF(C14:X14,"S"))</f>
      </c>
      <c r="Z14" s="4">
        <f>IF($B14="","",COUNTIF(C14:X14,"I"))</f>
      </c>
      <c r="AA14" s="4">
        <f>IF($B14="","",COUNTIF(C14:X14,"A"))</f>
      </c>
      <c r="AB14" s="4">
        <f>IF($B14="","",22-Y14-Z14-AA14)</f>
      </c>
      <c r="AC14" s="7">
        <f>IF($B14="","",AB14/22)</f>
      </c>
    </row>
    <row r="15">
      <c r="A15" s="4">
        <v>8</v>
      </c>
      <c r="B15" s="9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4">
        <f>IF($B15="","",COUNTIF(C15:X15,"S"))</f>
      </c>
      <c r="Z15" s="4">
        <f>IF($B15="","",COUNTIF(C15:X15,"I"))</f>
      </c>
      <c r="AA15" s="4">
        <f>IF($B15="","",COUNTIF(C15:X15,"A"))</f>
      </c>
      <c r="AB15" s="4">
        <f>IF($B15="","",22-Y15-Z15-AA15)</f>
      </c>
      <c r="AC15" s="7">
        <f>IF($B15="","",AB15/22)</f>
      </c>
    </row>
    <row r="16">
      <c r="A16" s="4">
        <v>9</v>
      </c>
      <c r="B16" s="9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4">
        <f>IF($B16="","",COUNTIF(C16:X16,"S"))</f>
      </c>
      <c r="Z16" s="4">
        <f>IF($B16="","",COUNTIF(C16:X16,"I"))</f>
      </c>
      <c r="AA16" s="4">
        <f>IF($B16="","",COUNTIF(C16:X16,"A"))</f>
      </c>
      <c r="AB16" s="4">
        <f>IF($B16="","",22-Y16-Z16-AA16)</f>
      </c>
      <c r="AC16" s="7">
        <f>IF($B16="","",AB16/22)</f>
      </c>
    </row>
    <row r="17">
      <c r="A17" s="4">
        <v>10</v>
      </c>
      <c r="B17" s="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4">
        <f>IF($B17="","",COUNTIF(C17:X17,"S"))</f>
      </c>
      <c r="Z17" s="4">
        <f>IF($B17="","",COUNTIF(C17:X17,"I"))</f>
      </c>
      <c r="AA17" s="4">
        <f>IF($B17="","",COUNTIF(C17:X17,"A"))</f>
      </c>
      <c r="AB17" s="4">
        <f>IF($B17="","",22-Y17-Z17-AA17)</f>
      </c>
      <c r="AC17" s="7">
        <f>IF($B17="","",AB17/22)</f>
      </c>
    </row>
    <row r="18">
      <c r="A18" s="4">
        <v>11</v>
      </c>
      <c r="B18" s="9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4">
        <f>IF($B18="","",COUNTIF(C18:X18,"S"))</f>
      </c>
      <c r="Z18" s="4">
        <f>IF($B18="","",COUNTIF(C18:X18,"I"))</f>
      </c>
      <c r="AA18" s="4">
        <f>IF($B18="","",COUNTIF(C18:X18,"A"))</f>
      </c>
      <c r="AB18" s="4">
        <f>IF($B18="","",22-Y18-Z18-AA18)</f>
      </c>
      <c r="AC18" s="7">
        <f>IF($B18="","",AB18/22)</f>
      </c>
    </row>
    <row r="19">
      <c r="A19" s="4">
        <v>12</v>
      </c>
      <c r="B19" s="9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4">
        <f>IF($B19="","",COUNTIF(C19:X19,"S"))</f>
      </c>
      <c r="Z19" s="4">
        <f>IF($B19="","",COUNTIF(C19:X19,"I"))</f>
      </c>
      <c r="AA19" s="4">
        <f>IF($B19="","",COUNTIF(C19:X19,"A"))</f>
      </c>
      <c r="AB19" s="4">
        <f>IF($B19="","",22-Y19-Z19-AA19)</f>
      </c>
      <c r="AC19" s="7">
        <f>IF($B19="","",AB19/22)</f>
      </c>
    </row>
    <row r="20">
      <c r="A20" s="4">
        <v>13</v>
      </c>
      <c r="B20" s="9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4">
        <f>IF($B20="","",COUNTIF(C20:X20,"S"))</f>
      </c>
      <c r="Z20" s="4">
        <f>IF($B20="","",COUNTIF(C20:X20,"I"))</f>
      </c>
      <c r="AA20" s="4">
        <f>IF($B20="","",COUNTIF(C20:X20,"A"))</f>
      </c>
      <c r="AB20" s="4">
        <f>IF($B20="","",22-Y20-Z20-AA20)</f>
      </c>
      <c r="AC20" s="7">
        <f>IF($B20="","",AB20/22)</f>
      </c>
    </row>
    <row r="21">
      <c r="A21" s="4">
        <v>14</v>
      </c>
      <c r="B21" s="9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4">
        <f>IF($B21="","",COUNTIF(C21:X21,"S"))</f>
      </c>
      <c r="Z21" s="4">
        <f>IF($B21="","",COUNTIF(C21:X21,"I"))</f>
      </c>
      <c r="AA21" s="4">
        <f>IF($B21="","",COUNTIF(C21:X21,"A"))</f>
      </c>
      <c r="AB21" s="4">
        <f>IF($B21="","",22-Y21-Z21-AA21)</f>
      </c>
      <c r="AC21" s="7">
        <f>IF($B21="","",AB21/22)</f>
      </c>
    </row>
    <row r="22">
      <c r="A22" s="4">
        <v>15</v>
      </c>
      <c r="B22" s="9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4">
        <f>IF($B22="","",COUNTIF(C22:X22,"S"))</f>
      </c>
      <c r="Z22" s="4">
        <f>IF($B22="","",COUNTIF(C22:X22,"I"))</f>
      </c>
      <c r="AA22" s="4">
        <f>IF($B22="","",COUNTIF(C22:X22,"A"))</f>
      </c>
      <c r="AB22" s="4">
        <f>IF($B22="","",22-Y22-Z22-AA22)</f>
      </c>
      <c r="AC22" s="7">
        <f>IF($B22="","",AB22/22)</f>
      </c>
    </row>
    <row r="23">
      <c r="A23" s="4">
        <v>16</v>
      </c>
      <c r="B23" s="9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4">
        <f>IF($B23="","",COUNTIF(C23:X23,"S"))</f>
      </c>
      <c r="Z23" s="4">
        <f>IF($B23="","",COUNTIF(C23:X23,"I"))</f>
      </c>
      <c r="AA23" s="4">
        <f>IF($B23="","",COUNTIF(C23:X23,"A"))</f>
      </c>
      <c r="AB23" s="4">
        <f>IF($B23="","",22-Y23-Z23-AA23)</f>
      </c>
      <c r="AC23" s="7">
        <f>IF($B23="","",AB23/22)</f>
      </c>
    </row>
    <row r="24">
      <c r="A24" s="4">
        <v>17</v>
      </c>
      <c r="B24" s="9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4">
        <f>IF($B24="","",COUNTIF(C24:X24,"S"))</f>
      </c>
      <c r="Z24" s="4">
        <f>IF($B24="","",COUNTIF(C24:X24,"I"))</f>
      </c>
      <c r="AA24" s="4">
        <f>IF($B24="","",COUNTIF(C24:X24,"A"))</f>
      </c>
      <c r="AB24" s="4">
        <f>IF($B24="","",22-Y24-Z24-AA24)</f>
      </c>
      <c r="AC24" s="7">
        <f>IF($B24="","",AB24/22)</f>
      </c>
    </row>
    <row r="25">
      <c r="A25" s="4">
        <v>18</v>
      </c>
      <c r="B25" s="9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4">
        <f>IF($B25="","",COUNTIF(C25:X25,"S"))</f>
      </c>
      <c r="Z25" s="4">
        <f>IF($B25="","",COUNTIF(C25:X25,"I"))</f>
      </c>
      <c r="AA25" s="4">
        <f>IF($B25="","",COUNTIF(C25:X25,"A"))</f>
      </c>
      <c r="AB25" s="4">
        <f>IF($B25="","",22-Y25-Z25-AA25)</f>
      </c>
      <c r="AC25" s="7">
        <f>IF($B25="","",AB25/22)</f>
      </c>
    </row>
    <row r="26">
      <c r="A26" s="4">
        <v>19</v>
      </c>
      <c r="B26" s="9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4">
        <f>IF($B26="","",COUNTIF(C26:X26,"S"))</f>
      </c>
      <c r="Z26" s="4">
        <f>IF($B26="","",COUNTIF(C26:X26,"I"))</f>
      </c>
      <c r="AA26" s="4">
        <f>IF($B26="","",COUNTIF(C26:X26,"A"))</f>
      </c>
      <c r="AB26" s="4">
        <f>IF($B26="","",22-Y26-Z26-AA26)</f>
      </c>
      <c r="AC26" s="7">
        <f>IF($B26="","",AB26/22)</f>
      </c>
    </row>
    <row r="27">
      <c r="A27" s="4">
        <v>20</v>
      </c>
      <c r="B27" s="9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4">
        <f>IF($B27="","",COUNTIF(C27:X27,"S"))</f>
      </c>
      <c r="Z27" s="4">
        <f>IF($B27="","",COUNTIF(C27:X27,"I"))</f>
      </c>
      <c r="AA27" s="4">
        <f>IF($B27="","",COUNTIF(C27:X27,"A"))</f>
      </c>
      <c r="AB27" s="4">
        <f>IF($B27="","",22-Y27-Z27-AA27)</f>
      </c>
      <c r="AC27" s="7">
        <f>IF($B27="","",AB27/22)</f>
      </c>
    </row>
    <row r="28">
      <c r="A28" s="4">
        <v>21</v>
      </c>
      <c r="B28" s="9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4">
        <f>IF($B28="","",COUNTIF(C28:X28,"S"))</f>
      </c>
      <c r="Z28" s="4">
        <f>IF($B28="","",COUNTIF(C28:X28,"I"))</f>
      </c>
      <c r="AA28" s="4">
        <f>IF($B28="","",COUNTIF(C28:X28,"A"))</f>
      </c>
      <c r="AB28" s="4">
        <f>IF($B28="","",22-Y28-Z28-AA28)</f>
      </c>
      <c r="AC28" s="7">
        <f>IF($B28="","",AB28/22)</f>
      </c>
    </row>
    <row r="29">
      <c r="A29" s="4">
        <v>22</v>
      </c>
      <c r="B29" s="9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4">
        <f>IF($B29="","",COUNTIF(C29:X29,"S"))</f>
      </c>
      <c r="Z29" s="4">
        <f>IF($B29="","",COUNTIF(C29:X29,"I"))</f>
      </c>
      <c r="AA29" s="4">
        <f>IF($B29="","",COUNTIF(C29:X29,"A"))</f>
      </c>
      <c r="AB29" s="4">
        <f>IF($B29="","",22-Y29-Z29-AA29)</f>
      </c>
      <c r="AC29" s="7">
        <f>IF($B29="","",AB29/22)</f>
      </c>
    </row>
    <row r="30">
      <c r="A30" s="4">
        <v>23</v>
      </c>
      <c r="B30" s="9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4">
        <f>IF($B30="","",COUNTIF(C30:X30,"S"))</f>
      </c>
      <c r="Z30" s="4">
        <f>IF($B30="","",COUNTIF(C30:X30,"I"))</f>
      </c>
      <c r="AA30" s="4">
        <f>IF($B30="","",COUNTIF(C30:X30,"A"))</f>
      </c>
      <c r="AB30" s="4">
        <f>IF($B30="","",22-Y30-Z30-AA30)</f>
      </c>
      <c r="AC30" s="7">
        <f>IF($B30="","",AB30/22)</f>
      </c>
    </row>
    <row r="31">
      <c r="A31" s="4">
        <v>24</v>
      </c>
      <c r="B31" s="9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4">
        <f>IF($B31="","",COUNTIF(C31:X31,"S"))</f>
      </c>
      <c r="Z31" s="4">
        <f>IF($B31="","",COUNTIF(C31:X31,"I"))</f>
      </c>
      <c r="AA31" s="4">
        <f>IF($B31="","",COUNTIF(C31:X31,"A"))</f>
      </c>
      <c r="AB31" s="4">
        <f>IF($B31="","",22-Y31-Z31-AA31)</f>
      </c>
      <c r="AC31" s="7">
        <f>IF($B31="","",AB31/22)</f>
      </c>
    </row>
    <row r="32">
      <c r="A32" s="4">
        <v>25</v>
      </c>
      <c r="B32" s="9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4">
        <f>IF($B32="","",COUNTIF(C32:X32,"S"))</f>
      </c>
      <c r="Z32" s="4">
        <f>IF($B32="","",COUNTIF(C32:X32,"I"))</f>
      </c>
      <c r="AA32" s="4">
        <f>IF($B32="","",COUNTIF(C32:X32,"A"))</f>
      </c>
      <c r="AB32" s="4">
        <f>IF($B32="","",22-Y32-Z32-AA32)</f>
      </c>
      <c r="AC32" s="7">
        <f>IF($B32="","",AB32/22)</f>
      </c>
    </row>
    <row r="33">
      <c r="A33" s="4">
        <v>26</v>
      </c>
      <c r="B33" s="9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4">
        <f>IF($B33="","",COUNTIF(C33:X33,"S"))</f>
      </c>
      <c r="Z33" s="4">
        <f>IF($B33="","",COUNTIF(C33:X33,"I"))</f>
      </c>
      <c r="AA33" s="4">
        <f>IF($B33="","",COUNTIF(C33:X33,"A"))</f>
      </c>
      <c r="AB33" s="4">
        <f>IF($B33="","",22-Y33-Z33-AA33)</f>
      </c>
      <c r="AC33" s="7">
        <f>IF($B33="","",AB33/22)</f>
      </c>
    </row>
    <row r="34">
      <c r="A34" s="4">
        <v>27</v>
      </c>
      <c r="B34" s="9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4">
        <f>IF($B34="","",COUNTIF(C34:X34,"S"))</f>
      </c>
      <c r="Z34" s="4">
        <f>IF($B34="","",COUNTIF(C34:X34,"I"))</f>
      </c>
      <c r="AA34" s="4">
        <f>IF($B34="","",COUNTIF(C34:X34,"A"))</f>
      </c>
      <c r="AB34" s="4">
        <f>IF($B34="","",22-Y34-Z34-AA34)</f>
      </c>
      <c r="AC34" s="7">
        <f>IF($B34="","",AB34/22)</f>
      </c>
    </row>
    <row r="35">
      <c r="A35" s="4">
        <v>28</v>
      </c>
      <c r="B35" s="9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4">
        <f>IF($B35="","",COUNTIF(C35:X35,"S"))</f>
      </c>
      <c r="Z35" s="4">
        <f>IF($B35="","",COUNTIF(C35:X35,"I"))</f>
      </c>
      <c r="AA35" s="4">
        <f>IF($B35="","",COUNTIF(C35:X35,"A"))</f>
      </c>
      <c r="AB35" s="4">
        <f>IF($B35="","",22-Y35-Z35-AA35)</f>
      </c>
      <c r="AC35" s="7">
        <f>IF($B35="","",AB35/22)</f>
      </c>
    </row>
    <row r="36">
      <c r="A36" s="12"/>
      <c r="B36" s="16" t="inlineStr">
        <is>
          <t xml:space="preserve">Jumlah tidak hadir</t>
        </is>
      </c>
      <c r="C36" s="12">
        <f>COUNTA(C8:C35)</f>
      </c>
      <c r="D36" s="12">
        <f>COUNTA(D8:D35)</f>
      </c>
      <c r="E36" s="12">
        <f>COUNTA(E8:E35)</f>
      </c>
      <c r="F36" s="12">
        <f>COUNTA(F8:F35)</f>
      </c>
      <c r="G36" s="12">
        <f>COUNTA(G8:G35)</f>
      </c>
      <c r="H36" s="12">
        <f>COUNTA(H8:H35)</f>
      </c>
      <c r="I36" s="12">
        <f>COUNTA(I8:I35)</f>
      </c>
      <c r="J36" s="12">
        <f>COUNTA(J8:J35)</f>
      </c>
      <c r="K36" s="12">
        <f>COUNTA(K8:K35)</f>
      </c>
      <c r="L36" s="12">
        <f>COUNTA(L8:L35)</f>
      </c>
      <c r="M36" s="12">
        <f>COUNTA(M8:M35)</f>
      </c>
      <c r="N36" s="12">
        <f>COUNTA(N8:N35)</f>
      </c>
      <c r="O36" s="12">
        <f>COUNTA(O8:O35)</f>
      </c>
      <c r="P36" s="12">
        <f>COUNTA(P8:P35)</f>
      </c>
      <c r="Q36" s="12">
        <f>COUNTA(Q8:Q35)</f>
      </c>
      <c r="R36" s="12">
        <f>COUNTA(R8:R35)</f>
      </c>
      <c r="S36" s="12">
        <f>COUNTA(S8:S35)</f>
      </c>
      <c r="T36" s="12">
        <f>COUNTA(T8:T35)</f>
      </c>
      <c r="U36" s="12">
        <f>COUNTA(U8:U35)</f>
      </c>
      <c r="V36" s="12">
        <f>COUNTA(V8:V35)</f>
      </c>
      <c r="W36" s="12">
        <f>COUNTA(W8:W35)</f>
      </c>
      <c r="X36" s="12">
        <f>COUNTA(X8:X35)</f>
      </c>
      <c r="Y36" s="12">
        <f>SUM(Y8:Y35)</f>
      </c>
      <c r="Z36" s="12">
        <f>SUM(Z8:Z35)</f>
      </c>
      <c r="AA36" s="12">
        <f>SUM(AA8:AA35)</f>
      </c>
      <c r="AB36" s="12"/>
      <c r="AC36" s="7">
        <f>IFERROR(AVERAGE(AC8:AC35),"")</f>
      </c>
    </row>
    <row r="37"/>
    <row r="38">
      <c r="A38" s="5" t="inlineStr">
        <is>
          <t xml:space="preserve">Keterangan: S = sakit, I = izin, A = alpa. Sel kosong = hadir. Jumlah hari sekolah bulan ini: 22.</t>
        </is>
      </c>
    </row>
    <row r="39">
      <c r="A39" s="5" t="inlineStr">
        <is>
          <t xml:space="preserve">Rumus terkunci agar tidak terhapus (tanpa kata sandi: Tinjau &gt; Buka Proteksi Lembar). Ketik nama siswa langsung di berkas ini.</t>
        </is>
      </c>
    </row>
    <row r="40"/>
    <row r="41">
      <c r="B41" s="13" t="inlineStr">
        <is>
          <t xml:space="preserve">Mengetahui,</t>
        </is>
      </c>
      <c r="Y41" s="13" t="inlineStr">
        <is>
          <t xml:space="preserve">Bandung, 30 Oktober 2026</t>
        </is>
      </c>
    </row>
    <row r="42">
      <c r="B42" s="13" t="inlineStr">
        <is>
          <t xml:space="preserve">Kepala Sekolah</t>
        </is>
      </c>
      <c r="Y42" s="13" t="inlineStr">
        <is>
          <t xml:space="preserve">Guru Kelas 4</t>
        </is>
      </c>
    </row>
    <row r="43">
      <c r="B43" s="13"/>
      <c r="Y43" s="13"/>
    </row>
    <row r="44">
      <c r="B44" s="13"/>
      <c r="Y44" s="13"/>
    </row>
    <row r="45">
      <c r="B45" s="13"/>
      <c r="Y45" s="13"/>
    </row>
    <row r="46">
      <c r="B46" s="14" t="inlineStr">
        <is>
          <t xml:space="preserve">Ahmad Fauzi, S.Pd.</t>
        </is>
      </c>
      <c r="Y46" s="14" t="inlineStr">
        <is>
          <t xml:space="preserve">Rina Kartika, S.Pd.</t>
        </is>
      </c>
    </row>
  </sheetData>
  <sheetProtection sheet="1" objects="1" scenarios="1" formatCells="0" formatColumns="0" formatRows="0" sort="0" autoFilter="0"/>
  <mergeCells count="18">
    <mergeCell ref="A1:AC1"/>
    <mergeCell ref="A2:AC2"/>
    <mergeCell ref="A3:AC3"/>
    <mergeCell ref="A5:A7"/>
    <mergeCell ref="B5:B7"/>
    <mergeCell ref="C5:X5"/>
    <mergeCell ref="Y5:AC5"/>
    <mergeCell ref="Y6:Y7"/>
    <mergeCell ref="Z6:Z7"/>
    <mergeCell ref="AA6:AA7"/>
    <mergeCell ref="AB6:AB7"/>
    <mergeCell ref="AC6:AC7"/>
    <mergeCell ref="Y41:AC41"/>
    <mergeCell ref="Y42:AC42"/>
    <mergeCell ref="Y43:AC43"/>
    <mergeCell ref="Y44:AC44"/>
    <mergeCell ref="Y45:AC45"/>
    <mergeCell ref="Y46:AC46"/>
  </mergeCells>
  <conditionalFormatting sqref="C8:X35">
    <cfRule type="cellIs" dxfId="0" priority="1" operator="equal">
      <formula>"S"</formula>
    </cfRule>
    <cfRule type="cellIs" dxfId="1" priority="2" operator="equal">
      <formula>"I"</formula>
    </cfRule>
    <cfRule type="cellIs" dxfId="2" priority="3" operator="equal">
      <formula>"A"</formula>
    </cfRule>
  </conditionalFormatting>
  <dataValidations count="1">
    <dataValidation type="list" allowBlank="1" showInputMessage="1" showErrorMessage="1" errorTitle="Kehadiran" error="Isi S (sakit), I (izin), atau A (alpa). Kosongkan jika hadir." promptTitle="Kehadiran" prompt="Isi S (sakit), I (izin), atau A (alpa). Kosongkan jika hadir." sqref="C8:X35">
      <formula1>"S,I,A"</formula1>
    </dataValidation>
  </dataValidations>
  <printOptions horizontalCentered="1"/>
  <pageMargins left="0.4" right="0.4" top="0.5" bottom="0.6" header="0.3" footer="0.3"/>
  <pageSetup paperSize="9" orientation="landscape" fitToWidth="1" fitToHeight="0"/>
  <headerFooter>
    <oddFooter>&amp;C&amp;8Halaman &amp;P dari &amp;N</oddFooter>
  </headerFooter>
</worksheet>
</file>