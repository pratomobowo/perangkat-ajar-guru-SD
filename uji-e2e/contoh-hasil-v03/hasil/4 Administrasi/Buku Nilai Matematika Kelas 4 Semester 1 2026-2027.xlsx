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Nilai Semester 1" sheetId="1" r:id="rId1"/>
    <sheet name="Keterangan TP" sheetId="2" r:id="rId2"/>
  </sheets>
  <definedNames>
    <definedName name="_xlnm.Print_Titles" localSheetId="0">'Nilai Semester 1'!$7:$8</definedName>
  </definedNames>
  <calcPr calcId="191029" fullCalcOnLoad="1"/>
</workbook>
</file>

<file path=xl/styles.xml><?xml version="1.0" encoding="utf-8"?>
<styleSheet xmlns="http://schemas.openxmlformats.org/spreadsheetml/2006/main">
  <fonts count="6">
    <font>
      <sz val="10"/>
      <name val="Arial"/>
    </font>
    <font>
      <b/>
      <sz val="14"/>
      <name val="Arial"/>
    </font>
    <font>
      <b/>
      <sz val="10"/>
      <name val="Arial"/>
    </font>
    <font>
      <i/>
      <sz val="9"/>
      <color rgb="FF595959"/>
      <name val="Arial"/>
    </font>
    <font>
      <b/>
      <sz val="11"/>
      <name val="Arial"/>
    </font>
    <font>
      <b/>
      <u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FFF9E5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0" fillId="3" borderId="1" xfId="0" applyFill="1" applyBorder="1" applyAlignment="1" applyProtection="1">
      <alignment horizontal="center" vertical="center"/>
      <protection locked="0"/>
    </xf>
    <xf numFmtId="9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ill>
        <patternFill patternType="solid">
          <bgColor rgb="FFFFE699"/>
        </patternFill>
      </fill>
    </dxf>
    <dxf>
      <fill>
        <patternFill patternType="solid">
          <bgColor rgb="FFBDD7EE"/>
        </patternFill>
      </fill>
    </dxf>
    <dxf>
      <font>
        <b/>
        <color rgb="FF9C0006"/>
      </font>
      <fill>
        <patternFill patternType="solid">
          <bgColor rgb="FFF8CBAD"/>
        </patternFill>
      </fill>
    </dxf>
    <dxf>
      <font>
        <color rgb="FF9C0006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 zoomScale="100">
      <pane xSplit="2" ySplit="8" topLeftCell="C9" activePane="bottomRight" state="frozen"/>
      <selection pane="bottomRight"/>
    </sheetView>
  </sheetViews>
  <sheetFormatPr defaultRowHeight="15"/>
  <cols>
    <col min="1" max="1" width="4.5" customWidth="1"/>
    <col min="2" max="2" width="26" customWidth="1"/>
    <col min="3" max="3" width="6.5" customWidth="1"/>
    <col min="4" max="4" width="6.5" customWidth="1"/>
    <col min="5" max="5" width="6.5" customWidth="1"/>
    <col min="6" max="6" width="6.5" customWidth="1"/>
    <col min="7" max="7" width="6.5" customWidth="1"/>
    <col min="8" max="8" width="6.5" customWidth="1"/>
    <col min="9" max="9" width="10" customWidth="1"/>
    <col min="10" max="10" width="6.5" customWidth="1"/>
    <col min="11" max="11" width="6.5" customWidth="1"/>
    <col min="12" max="12" width="8" customWidth="1"/>
    <col min="13" max="13" width="9" customWidth="1"/>
    <col min="14" max="14" width="9" customWidth="1"/>
  </cols>
  <sheetData>
    <row r="1">
      <c r="A1" s="11" t="inlineStr">
        <is>
          <t xml:space="preserve">SDIT AL HIKMAH</t>
        </is>
      </c>
    </row>
    <row r="2" ht="22" customHeight="1">
      <c r="A2" s="10" t="inlineStr">
        <is>
          <t xml:space="preserve">BUKU NILAI MATEMATIKA</t>
        </is>
      </c>
    </row>
    <row r="3">
      <c r="A3" s="13" t="inlineStr">
        <is>
          <t xml:space="preserve">Kelas 4  ·  Semester 1  ·  Tahun Ajaran 2026/2027</t>
        </is>
      </c>
    </row>
    <row r="4"/>
    <row r="5">
      <c r="A5" s="16" t="inlineStr">
        <is>
          <t xml:space="preserve">Bobot nilai rapor (%)</t>
        </is>
      </c>
      <c r="B5" s="16"/>
      <c r="C5" s="2" t="inlineStr">
        <is>
          <t xml:space="preserve">Formatif</t>
        </is>
      </c>
      <c r="D5" s="2"/>
      <c r="E5" s="6">
        <v>50</v>
      </c>
      <c r="F5" s="2" t="inlineStr">
        <is>
          <t xml:space="preserve">STS</t>
        </is>
      </c>
      <c r="G5" s="6">
        <v>25</v>
      </c>
      <c r="H5" s="2" t="inlineStr">
        <is>
          <t xml:space="preserve">SAS</t>
        </is>
      </c>
      <c r="I5" s="6">
        <v>25</v>
      </c>
      <c r="J5" s="5" t="inlineStr">
        <is>
          <t xml:space="preserve">Bobot bawaan; belum ditetapkan sekolah. Ubah sel kuning bila perlu.</t>
        </is>
      </c>
    </row>
    <row r="6"/>
    <row r="7" ht="28" customHeight="1">
      <c r="A7" s="2" t="inlineStr">
        <is>
          <t xml:space="preserve">No</t>
        </is>
      </c>
      <c r="B7" s="2" t="inlineStr">
        <is>
          <t xml:space="preserve">Nama Siswa</t>
        </is>
      </c>
      <c r="C7" s="2" t="inlineStr">
        <is>
          <t xml:space="preserve">Nilai Formatif per TP</t>
        </is>
      </c>
      <c r="D7" s="2"/>
      <c r="E7" s="2"/>
      <c r="F7" s="2"/>
      <c r="G7" s="2"/>
      <c r="H7" s="2"/>
      <c r="I7" s="2" t="inlineStr">
        <is>
          <t xml:space="preserve">Rata-rata Formatif</t>
        </is>
      </c>
      <c r="J7" s="2" t="inlineStr">
        <is>
          <t xml:space="preserve">STS</t>
        </is>
      </c>
      <c r="K7" s="2" t="inlineStr">
        <is>
          <t xml:space="preserve">SAS</t>
        </is>
      </c>
      <c r="L7" s="2" t="inlineStr">
        <is>
          <t xml:space="preserve">Nilai Rapor</t>
        </is>
      </c>
      <c r="M7" s="2" t="inlineStr">
        <is>
          <t xml:space="preserve">TP Tertinggi</t>
        </is>
      </c>
      <c r="N7" s="2" t="inlineStr">
        <is>
          <t xml:space="preserve">TP Terendah</t>
        </is>
      </c>
    </row>
    <row r="8">
      <c r="A8" s="2"/>
      <c r="B8" s="2"/>
      <c r="C8" s="2" t="inlineStr">
        <is>
          <t xml:space="preserve">TP1</t>
        </is>
      </c>
      <c r="D8" s="2" t="inlineStr">
        <is>
          <t xml:space="preserve">TP2</t>
        </is>
      </c>
      <c r="E8" s="2" t="inlineStr">
        <is>
          <t xml:space="preserve">TP3</t>
        </is>
      </c>
      <c r="F8" s="2" t="inlineStr">
        <is>
          <t xml:space="preserve">TP4</t>
        </is>
      </c>
      <c r="G8" s="2" t="inlineStr">
        <is>
          <t xml:space="preserve">TP5</t>
        </is>
      </c>
      <c r="H8" s="2" t="inlineStr">
        <is>
          <t xml:space="preserve">TP6</t>
        </is>
      </c>
      <c r="I8" s="2"/>
      <c r="J8" s="2"/>
      <c r="K8" s="2"/>
      <c r="L8" s="2"/>
      <c r="M8" s="2"/>
      <c r="N8" s="2"/>
    </row>
    <row r="9">
      <c r="A9" s="4">
        <v>1</v>
      </c>
      <c r="B9" s="9"/>
      <c r="C9" s="6"/>
      <c r="D9" s="6"/>
      <c r="E9" s="6"/>
      <c r="F9" s="6"/>
      <c r="G9" s="6"/>
      <c r="H9" s="6"/>
      <c r="I9" s="4">
        <f>IF(COUNT(C9:H9)=0,"",ROUND(AVERAGE(C9:H9),0))</f>
      </c>
      <c r="J9" s="6"/>
      <c r="K9" s="6"/>
      <c r="L9" s="12">
        <f>IF(OR(I9="",J9="",K9=""),"",ROUND((I9*$E$5+J9*$G$5+K9*$I$5)/($E$5+$G$5+$I$5),0))</f>
      </c>
      <c r="M9" s="4">
        <f>IF(COUNT(C9:H9)=0,"",INDEX($C$8:$H$8,1,MATCH(MAX(C9:H9),C9:H9,0)))</f>
      </c>
      <c r="N9" s="4">
        <f>IF(COUNT(C9:H9)=0,"",INDEX($C$8:$H$8,1,MATCH(MIN(C9:H9),C9:H9,0)))</f>
      </c>
    </row>
    <row r="10">
      <c r="A10" s="4">
        <v>2</v>
      </c>
      <c r="B10" s="9"/>
      <c r="C10" s="6"/>
      <c r="D10" s="6"/>
      <c r="E10" s="6"/>
      <c r="F10" s="6"/>
      <c r="G10" s="6"/>
      <c r="H10" s="6"/>
      <c r="I10" s="4">
        <f>IF(COUNT(C10:H10)=0,"",ROUND(AVERAGE(C10:H10),0))</f>
      </c>
      <c r="J10" s="6"/>
      <c r="K10" s="6"/>
      <c r="L10" s="12">
        <f>IF(OR(I10="",J10="",K10=""),"",ROUND((I10*$E$5+J10*$G$5+K10*$I$5)/($E$5+$G$5+$I$5),0))</f>
      </c>
      <c r="M10" s="4">
        <f>IF(COUNT(C10:H10)=0,"",INDEX($C$8:$H$8,1,MATCH(MAX(C10:H10),C10:H10,0)))</f>
      </c>
      <c r="N10" s="4">
        <f>IF(COUNT(C10:H10)=0,"",INDEX($C$8:$H$8,1,MATCH(MIN(C10:H10),C10:H10,0)))</f>
      </c>
    </row>
    <row r="11">
      <c r="A11" s="4">
        <v>3</v>
      </c>
      <c r="B11" s="9"/>
      <c r="C11" s="6"/>
      <c r="D11" s="6"/>
      <c r="E11" s="6"/>
      <c r="F11" s="6"/>
      <c r="G11" s="6"/>
      <c r="H11" s="6"/>
      <c r="I11" s="4">
        <f>IF(COUNT(C11:H11)=0,"",ROUND(AVERAGE(C11:H11),0))</f>
      </c>
      <c r="J11" s="6"/>
      <c r="K11" s="6"/>
      <c r="L11" s="12">
        <f>IF(OR(I11="",J11="",K11=""),"",ROUND((I11*$E$5+J11*$G$5+K11*$I$5)/($E$5+$G$5+$I$5),0))</f>
      </c>
      <c r="M11" s="4">
        <f>IF(COUNT(C11:H11)=0,"",INDEX($C$8:$H$8,1,MATCH(MAX(C11:H11),C11:H11,0)))</f>
      </c>
      <c r="N11" s="4">
        <f>IF(COUNT(C11:H11)=0,"",INDEX($C$8:$H$8,1,MATCH(MIN(C11:H11),C11:H11,0)))</f>
      </c>
    </row>
    <row r="12">
      <c r="A12" s="4">
        <v>4</v>
      </c>
      <c r="B12" s="9"/>
      <c r="C12" s="6"/>
      <c r="D12" s="6"/>
      <c r="E12" s="6"/>
      <c r="F12" s="6"/>
      <c r="G12" s="6"/>
      <c r="H12" s="6"/>
      <c r="I12" s="4">
        <f>IF(COUNT(C12:H12)=0,"",ROUND(AVERAGE(C12:H12),0))</f>
      </c>
      <c r="J12" s="6"/>
      <c r="K12" s="6"/>
      <c r="L12" s="12">
        <f>IF(OR(I12="",J12="",K12=""),"",ROUND((I12*$E$5+J12*$G$5+K12*$I$5)/($E$5+$G$5+$I$5),0))</f>
      </c>
      <c r="M12" s="4">
        <f>IF(COUNT(C12:H12)=0,"",INDEX($C$8:$H$8,1,MATCH(MAX(C12:H12),C12:H12,0)))</f>
      </c>
      <c r="N12" s="4">
        <f>IF(COUNT(C12:H12)=0,"",INDEX($C$8:$H$8,1,MATCH(MIN(C12:H12),C12:H12,0)))</f>
      </c>
    </row>
    <row r="13">
      <c r="A13" s="4">
        <v>5</v>
      </c>
      <c r="B13" s="9"/>
      <c r="C13" s="6"/>
      <c r="D13" s="6"/>
      <c r="E13" s="6"/>
      <c r="F13" s="6"/>
      <c r="G13" s="6"/>
      <c r="H13" s="6"/>
      <c r="I13" s="4">
        <f>IF(COUNT(C13:H13)=0,"",ROUND(AVERAGE(C13:H13),0))</f>
      </c>
      <c r="J13" s="6"/>
      <c r="K13" s="6"/>
      <c r="L13" s="12">
        <f>IF(OR(I13="",J13="",K13=""),"",ROUND((I13*$E$5+J13*$G$5+K13*$I$5)/($E$5+$G$5+$I$5),0))</f>
      </c>
      <c r="M13" s="4">
        <f>IF(COUNT(C13:H13)=0,"",INDEX($C$8:$H$8,1,MATCH(MAX(C13:H13),C13:H13,0)))</f>
      </c>
      <c r="N13" s="4">
        <f>IF(COUNT(C13:H13)=0,"",INDEX($C$8:$H$8,1,MATCH(MIN(C13:H13),C13:H13,0)))</f>
      </c>
    </row>
    <row r="14">
      <c r="A14" s="4">
        <v>6</v>
      </c>
      <c r="B14" s="9"/>
      <c r="C14" s="6"/>
      <c r="D14" s="6"/>
      <c r="E14" s="6"/>
      <c r="F14" s="6"/>
      <c r="G14" s="6"/>
      <c r="H14" s="6"/>
      <c r="I14" s="4">
        <f>IF(COUNT(C14:H14)=0,"",ROUND(AVERAGE(C14:H14),0))</f>
      </c>
      <c r="J14" s="6"/>
      <c r="K14" s="6"/>
      <c r="L14" s="12">
        <f>IF(OR(I14="",J14="",K14=""),"",ROUND((I14*$E$5+J14*$G$5+K14*$I$5)/($E$5+$G$5+$I$5),0))</f>
      </c>
      <c r="M14" s="4">
        <f>IF(COUNT(C14:H14)=0,"",INDEX($C$8:$H$8,1,MATCH(MAX(C14:H14),C14:H14,0)))</f>
      </c>
      <c r="N14" s="4">
        <f>IF(COUNT(C14:H14)=0,"",INDEX($C$8:$H$8,1,MATCH(MIN(C14:H14),C14:H14,0)))</f>
      </c>
    </row>
    <row r="15">
      <c r="A15" s="4">
        <v>7</v>
      </c>
      <c r="B15" s="9"/>
      <c r="C15" s="6"/>
      <c r="D15" s="6"/>
      <c r="E15" s="6"/>
      <c r="F15" s="6"/>
      <c r="G15" s="6"/>
      <c r="H15" s="6"/>
      <c r="I15" s="4">
        <f>IF(COUNT(C15:H15)=0,"",ROUND(AVERAGE(C15:H15),0))</f>
      </c>
      <c r="J15" s="6"/>
      <c r="K15" s="6"/>
      <c r="L15" s="12">
        <f>IF(OR(I15="",J15="",K15=""),"",ROUND((I15*$E$5+J15*$G$5+K15*$I$5)/($E$5+$G$5+$I$5),0))</f>
      </c>
      <c r="M15" s="4">
        <f>IF(COUNT(C15:H15)=0,"",INDEX($C$8:$H$8,1,MATCH(MAX(C15:H15),C15:H15,0)))</f>
      </c>
      <c r="N15" s="4">
        <f>IF(COUNT(C15:H15)=0,"",INDEX($C$8:$H$8,1,MATCH(MIN(C15:H15),C15:H15,0)))</f>
      </c>
    </row>
    <row r="16">
      <c r="A16" s="4">
        <v>8</v>
      </c>
      <c r="B16" s="9"/>
      <c r="C16" s="6"/>
      <c r="D16" s="6"/>
      <c r="E16" s="6"/>
      <c r="F16" s="6"/>
      <c r="G16" s="6"/>
      <c r="H16" s="6"/>
      <c r="I16" s="4">
        <f>IF(COUNT(C16:H16)=0,"",ROUND(AVERAGE(C16:H16),0))</f>
      </c>
      <c r="J16" s="6"/>
      <c r="K16" s="6"/>
      <c r="L16" s="12">
        <f>IF(OR(I16="",J16="",K16=""),"",ROUND((I16*$E$5+J16*$G$5+K16*$I$5)/($E$5+$G$5+$I$5),0))</f>
      </c>
      <c r="M16" s="4">
        <f>IF(COUNT(C16:H16)=0,"",INDEX($C$8:$H$8,1,MATCH(MAX(C16:H16),C16:H16,0)))</f>
      </c>
      <c r="N16" s="4">
        <f>IF(COUNT(C16:H16)=0,"",INDEX($C$8:$H$8,1,MATCH(MIN(C16:H16),C16:H16,0)))</f>
      </c>
    </row>
    <row r="17">
      <c r="A17" s="4">
        <v>9</v>
      </c>
      <c r="B17" s="9"/>
      <c r="C17" s="6"/>
      <c r="D17" s="6"/>
      <c r="E17" s="6"/>
      <c r="F17" s="6"/>
      <c r="G17" s="6"/>
      <c r="H17" s="6"/>
      <c r="I17" s="4">
        <f>IF(COUNT(C17:H17)=0,"",ROUND(AVERAGE(C17:H17),0))</f>
      </c>
      <c r="J17" s="6"/>
      <c r="K17" s="6"/>
      <c r="L17" s="12">
        <f>IF(OR(I17="",J17="",K17=""),"",ROUND((I17*$E$5+J17*$G$5+K17*$I$5)/($E$5+$G$5+$I$5),0))</f>
      </c>
      <c r="M17" s="4">
        <f>IF(COUNT(C17:H17)=0,"",INDEX($C$8:$H$8,1,MATCH(MAX(C17:H17),C17:H17,0)))</f>
      </c>
      <c r="N17" s="4">
        <f>IF(COUNT(C17:H17)=0,"",INDEX($C$8:$H$8,1,MATCH(MIN(C17:H17),C17:H17,0)))</f>
      </c>
    </row>
    <row r="18">
      <c r="A18" s="4">
        <v>10</v>
      </c>
      <c r="B18" s="9"/>
      <c r="C18" s="6"/>
      <c r="D18" s="6"/>
      <c r="E18" s="6"/>
      <c r="F18" s="6"/>
      <c r="G18" s="6"/>
      <c r="H18" s="6"/>
      <c r="I18" s="4">
        <f>IF(COUNT(C18:H18)=0,"",ROUND(AVERAGE(C18:H18),0))</f>
      </c>
      <c r="J18" s="6"/>
      <c r="K18" s="6"/>
      <c r="L18" s="12">
        <f>IF(OR(I18="",J18="",K18=""),"",ROUND((I18*$E$5+J18*$G$5+K18*$I$5)/($E$5+$G$5+$I$5),0))</f>
      </c>
      <c r="M18" s="4">
        <f>IF(COUNT(C18:H18)=0,"",INDEX($C$8:$H$8,1,MATCH(MAX(C18:H18),C18:H18,0)))</f>
      </c>
      <c r="N18" s="4">
        <f>IF(COUNT(C18:H18)=0,"",INDEX($C$8:$H$8,1,MATCH(MIN(C18:H18),C18:H18,0)))</f>
      </c>
    </row>
    <row r="19">
      <c r="A19" s="4">
        <v>11</v>
      </c>
      <c r="B19" s="9"/>
      <c r="C19" s="6"/>
      <c r="D19" s="6"/>
      <c r="E19" s="6"/>
      <c r="F19" s="6"/>
      <c r="G19" s="6"/>
      <c r="H19" s="6"/>
      <c r="I19" s="4">
        <f>IF(COUNT(C19:H19)=0,"",ROUND(AVERAGE(C19:H19),0))</f>
      </c>
      <c r="J19" s="6"/>
      <c r="K19" s="6"/>
      <c r="L19" s="12">
        <f>IF(OR(I19="",J19="",K19=""),"",ROUND((I19*$E$5+J19*$G$5+K19*$I$5)/($E$5+$G$5+$I$5),0))</f>
      </c>
      <c r="M19" s="4">
        <f>IF(COUNT(C19:H19)=0,"",INDEX($C$8:$H$8,1,MATCH(MAX(C19:H19),C19:H19,0)))</f>
      </c>
      <c r="N19" s="4">
        <f>IF(COUNT(C19:H19)=0,"",INDEX($C$8:$H$8,1,MATCH(MIN(C19:H19),C19:H19,0)))</f>
      </c>
    </row>
    <row r="20">
      <c r="A20" s="4">
        <v>12</v>
      </c>
      <c r="B20" s="9"/>
      <c r="C20" s="6"/>
      <c r="D20" s="6"/>
      <c r="E20" s="6"/>
      <c r="F20" s="6"/>
      <c r="G20" s="6"/>
      <c r="H20" s="6"/>
      <c r="I20" s="4">
        <f>IF(COUNT(C20:H20)=0,"",ROUND(AVERAGE(C20:H20),0))</f>
      </c>
      <c r="J20" s="6"/>
      <c r="K20" s="6"/>
      <c r="L20" s="12">
        <f>IF(OR(I20="",J20="",K20=""),"",ROUND((I20*$E$5+J20*$G$5+K20*$I$5)/($E$5+$G$5+$I$5),0))</f>
      </c>
      <c r="M20" s="4">
        <f>IF(COUNT(C20:H20)=0,"",INDEX($C$8:$H$8,1,MATCH(MAX(C20:H20),C20:H20,0)))</f>
      </c>
      <c r="N20" s="4">
        <f>IF(COUNT(C20:H20)=0,"",INDEX($C$8:$H$8,1,MATCH(MIN(C20:H20),C20:H20,0)))</f>
      </c>
    </row>
    <row r="21">
      <c r="A21" s="4">
        <v>13</v>
      </c>
      <c r="B21" s="9"/>
      <c r="C21" s="6"/>
      <c r="D21" s="6"/>
      <c r="E21" s="6"/>
      <c r="F21" s="6"/>
      <c r="G21" s="6"/>
      <c r="H21" s="6"/>
      <c r="I21" s="4">
        <f>IF(COUNT(C21:H21)=0,"",ROUND(AVERAGE(C21:H21),0))</f>
      </c>
      <c r="J21" s="6"/>
      <c r="K21" s="6"/>
      <c r="L21" s="12">
        <f>IF(OR(I21="",J21="",K21=""),"",ROUND((I21*$E$5+J21*$G$5+K21*$I$5)/($E$5+$G$5+$I$5),0))</f>
      </c>
      <c r="M21" s="4">
        <f>IF(COUNT(C21:H21)=0,"",INDEX($C$8:$H$8,1,MATCH(MAX(C21:H21),C21:H21,0)))</f>
      </c>
      <c r="N21" s="4">
        <f>IF(COUNT(C21:H21)=0,"",INDEX($C$8:$H$8,1,MATCH(MIN(C21:H21),C21:H21,0)))</f>
      </c>
    </row>
    <row r="22">
      <c r="A22" s="4">
        <v>14</v>
      </c>
      <c r="B22" s="9"/>
      <c r="C22" s="6"/>
      <c r="D22" s="6"/>
      <c r="E22" s="6"/>
      <c r="F22" s="6"/>
      <c r="G22" s="6"/>
      <c r="H22" s="6"/>
      <c r="I22" s="4">
        <f>IF(COUNT(C22:H22)=0,"",ROUND(AVERAGE(C22:H22),0))</f>
      </c>
      <c r="J22" s="6"/>
      <c r="K22" s="6"/>
      <c r="L22" s="12">
        <f>IF(OR(I22="",J22="",K22=""),"",ROUND((I22*$E$5+J22*$G$5+K22*$I$5)/($E$5+$G$5+$I$5),0))</f>
      </c>
      <c r="M22" s="4">
        <f>IF(COUNT(C22:H22)=0,"",INDEX($C$8:$H$8,1,MATCH(MAX(C22:H22),C22:H22,0)))</f>
      </c>
      <c r="N22" s="4">
        <f>IF(COUNT(C22:H22)=0,"",INDEX($C$8:$H$8,1,MATCH(MIN(C22:H22),C22:H22,0)))</f>
      </c>
    </row>
    <row r="23">
      <c r="A23" s="4">
        <v>15</v>
      </c>
      <c r="B23" s="9"/>
      <c r="C23" s="6"/>
      <c r="D23" s="6"/>
      <c r="E23" s="6"/>
      <c r="F23" s="6"/>
      <c r="G23" s="6"/>
      <c r="H23" s="6"/>
      <c r="I23" s="4">
        <f>IF(COUNT(C23:H23)=0,"",ROUND(AVERAGE(C23:H23),0))</f>
      </c>
      <c r="J23" s="6"/>
      <c r="K23" s="6"/>
      <c r="L23" s="12">
        <f>IF(OR(I23="",J23="",K23=""),"",ROUND((I23*$E$5+J23*$G$5+K23*$I$5)/($E$5+$G$5+$I$5),0))</f>
      </c>
      <c r="M23" s="4">
        <f>IF(COUNT(C23:H23)=0,"",INDEX($C$8:$H$8,1,MATCH(MAX(C23:H23),C23:H23,0)))</f>
      </c>
      <c r="N23" s="4">
        <f>IF(COUNT(C23:H23)=0,"",INDEX($C$8:$H$8,1,MATCH(MIN(C23:H23),C23:H23,0)))</f>
      </c>
    </row>
    <row r="24">
      <c r="A24" s="4">
        <v>16</v>
      </c>
      <c r="B24" s="9"/>
      <c r="C24" s="6"/>
      <c r="D24" s="6"/>
      <c r="E24" s="6"/>
      <c r="F24" s="6"/>
      <c r="G24" s="6"/>
      <c r="H24" s="6"/>
      <c r="I24" s="4">
        <f>IF(COUNT(C24:H24)=0,"",ROUND(AVERAGE(C24:H24),0))</f>
      </c>
      <c r="J24" s="6"/>
      <c r="K24" s="6"/>
      <c r="L24" s="12">
        <f>IF(OR(I24="",J24="",K24=""),"",ROUND((I24*$E$5+J24*$G$5+K24*$I$5)/($E$5+$G$5+$I$5),0))</f>
      </c>
      <c r="M24" s="4">
        <f>IF(COUNT(C24:H24)=0,"",INDEX($C$8:$H$8,1,MATCH(MAX(C24:H24),C24:H24,0)))</f>
      </c>
      <c r="N24" s="4">
        <f>IF(COUNT(C24:H24)=0,"",INDEX($C$8:$H$8,1,MATCH(MIN(C24:H24),C24:H24,0)))</f>
      </c>
    </row>
    <row r="25">
      <c r="A25" s="4">
        <v>17</v>
      </c>
      <c r="B25" s="9"/>
      <c r="C25" s="6"/>
      <c r="D25" s="6"/>
      <c r="E25" s="6"/>
      <c r="F25" s="6"/>
      <c r="G25" s="6"/>
      <c r="H25" s="6"/>
      <c r="I25" s="4">
        <f>IF(COUNT(C25:H25)=0,"",ROUND(AVERAGE(C25:H25),0))</f>
      </c>
      <c r="J25" s="6"/>
      <c r="K25" s="6"/>
      <c r="L25" s="12">
        <f>IF(OR(I25="",J25="",K25=""),"",ROUND((I25*$E$5+J25*$G$5+K25*$I$5)/($E$5+$G$5+$I$5),0))</f>
      </c>
      <c r="M25" s="4">
        <f>IF(COUNT(C25:H25)=0,"",INDEX($C$8:$H$8,1,MATCH(MAX(C25:H25),C25:H25,0)))</f>
      </c>
      <c r="N25" s="4">
        <f>IF(COUNT(C25:H25)=0,"",INDEX($C$8:$H$8,1,MATCH(MIN(C25:H25),C25:H25,0)))</f>
      </c>
    </row>
    <row r="26">
      <c r="A26" s="4">
        <v>18</v>
      </c>
      <c r="B26" s="9"/>
      <c r="C26" s="6"/>
      <c r="D26" s="6"/>
      <c r="E26" s="6"/>
      <c r="F26" s="6"/>
      <c r="G26" s="6"/>
      <c r="H26" s="6"/>
      <c r="I26" s="4">
        <f>IF(COUNT(C26:H26)=0,"",ROUND(AVERAGE(C26:H26),0))</f>
      </c>
      <c r="J26" s="6"/>
      <c r="K26" s="6"/>
      <c r="L26" s="12">
        <f>IF(OR(I26="",J26="",K26=""),"",ROUND((I26*$E$5+J26*$G$5+K26*$I$5)/($E$5+$G$5+$I$5),0))</f>
      </c>
      <c r="M26" s="4">
        <f>IF(COUNT(C26:H26)=0,"",INDEX($C$8:$H$8,1,MATCH(MAX(C26:H26),C26:H26,0)))</f>
      </c>
      <c r="N26" s="4">
        <f>IF(COUNT(C26:H26)=0,"",INDEX($C$8:$H$8,1,MATCH(MIN(C26:H26),C26:H26,0)))</f>
      </c>
    </row>
    <row r="27">
      <c r="A27" s="4">
        <v>19</v>
      </c>
      <c r="B27" s="9"/>
      <c r="C27" s="6"/>
      <c r="D27" s="6"/>
      <c r="E27" s="6"/>
      <c r="F27" s="6"/>
      <c r="G27" s="6"/>
      <c r="H27" s="6"/>
      <c r="I27" s="4">
        <f>IF(COUNT(C27:H27)=0,"",ROUND(AVERAGE(C27:H27),0))</f>
      </c>
      <c r="J27" s="6"/>
      <c r="K27" s="6"/>
      <c r="L27" s="12">
        <f>IF(OR(I27="",J27="",K27=""),"",ROUND((I27*$E$5+J27*$G$5+K27*$I$5)/($E$5+$G$5+$I$5),0))</f>
      </c>
      <c r="M27" s="4">
        <f>IF(COUNT(C27:H27)=0,"",INDEX($C$8:$H$8,1,MATCH(MAX(C27:H27),C27:H27,0)))</f>
      </c>
      <c r="N27" s="4">
        <f>IF(COUNT(C27:H27)=0,"",INDEX($C$8:$H$8,1,MATCH(MIN(C27:H27),C27:H27,0)))</f>
      </c>
    </row>
    <row r="28">
      <c r="A28" s="4">
        <v>20</v>
      </c>
      <c r="B28" s="9"/>
      <c r="C28" s="6"/>
      <c r="D28" s="6"/>
      <c r="E28" s="6"/>
      <c r="F28" s="6"/>
      <c r="G28" s="6"/>
      <c r="H28" s="6"/>
      <c r="I28" s="4">
        <f>IF(COUNT(C28:H28)=0,"",ROUND(AVERAGE(C28:H28),0))</f>
      </c>
      <c r="J28" s="6"/>
      <c r="K28" s="6"/>
      <c r="L28" s="12">
        <f>IF(OR(I28="",J28="",K28=""),"",ROUND((I28*$E$5+J28*$G$5+K28*$I$5)/($E$5+$G$5+$I$5),0))</f>
      </c>
      <c r="M28" s="4">
        <f>IF(COUNT(C28:H28)=0,"",INDEX($C$8:$H$8,1,MATCH(MAX(C28:H28),C28:H28,0)))</f>
      </c>
      <c r="N28" s="4">
        <f>IF(COUNT(C28:H28)=0,"",INDEX($C$8:$H$8,1,MATCH(MIN(C28:H28),C28:H28,0)))</f>
      </c>
    </row>
    <row r="29">
      <c r="A29" s="4">
        <v>21</v>
      </c>
      <c r="B29" s="9"/>
      <c r="C29" s="6"/>
      <c r="D29" s="6"/>
      <c r="E29" s="6"/>
      <c r="F29" s="6"/>
      <c r="G29" s="6"/>
      <c r="H29" s="6"/>
      <c r="I29" s="4">
        <f>IF(COUNT(C29:H29)=0,"",ROUND(AVERAGE(C29:H29),0))</f>
      </c>
      <c r="J29" s="6"/>
      <c r="K29" s="6"/>
      <c r="L29" s="12">
        <f>IF(OR(I29="",J29="",K29=""),"",ROUND((I29*$E$5+J29*$G$5+K29*$I$5)/($E$5+$G$5+$I$5),0))</f>
      </c>
      <c r="M29" s="4">
        <f>IF(COUNT(C29:H29)=0,"",INDEX($C$8:$H$8,1,MATCH(MAX(C29:H29),C29:H29,0)))</f>
      </c>
      <c r="N29" s="4">
        <f>IF(COUNT(C29:H29)=0,"",INDEX($C$8:$H$8,1,MATCH(MIN(C29:H29),C29:H29,0)))</f>
      </c>
    </row>
    <row r="30">
      <c r="A30" s="4">
        <v>22</v>
      </c>
      <c r="B30" s="9"/>
      <c r="C30" s="6"/>
      <c r="D30" s="6"/>
      <c r="E30" s="6"/>
      <c r="F30" s="6"/>
      <c r="G30" s="6"/>
      <c r="H30" s="6"/>
      <c r="I30" s="4">
        <f>IF(COUNT(C30:H30)=0,"",ROUND(AVERAGE(C30:H30),0))</f>
      </c>
      <c r="J30" s="6"/>
      <c r="K30" s="6"/>
      <c r="L30" s="12">
        <f>IF(OR(I30="",J30="",K30=""),"",ROUND((I30*$E$5+J30*$G$5+K30*$I$5)/($E$5+$G$5+$I$5),0))</f>
      </c>
      <c r="M30" s="4">
        <f>IF(COUNT(C30:H30)=0,"",INDEX($C$8:$H$8,1,MATCH(MAX(C30:H30),C30:H30,0)))</f>
      </c>
      <c r="N30" s="4">
        <f>IF(COUNT(C30:H30)=0,"",INDEX($C$8:$H$8,1,MATCH(MIN(C30:H30),C30:H30,0)))</f>
      </c>
    </row>
    <row r="31">
      <c r="A31" s="4">
        <v>23</v>
      </c>
      <c r="B31" s="9"/>
      <c r="C31" s="6"/>
      <c r="D31" s="6"/>
      <c r="E31" s="6"/>
      <c r="F31" s="6"/>
      <c r="G31" s="6"/>
      <c r="H31" s="6"/>
      <c r="I31" s="4">
        <f>IF(COUNT(C31:H31)=0,"",ROUND(AVERAGE(C31:H31),0))</f>
      </c>
      <c r="J31" s="6"/>
      <c r="K31" s="6"/>
      <c r="L31" s="12">
        <f>IF(OR(I31="",J31="",K31=""),"",ROUND((I31*$E$5+J31*$G$5+K31*$I$5)/($E$5+$G$5+$I$5),0))</f>
      </c>
      <c r="M31" s="4">
        <f>IF(COUNT(C31:H31)=0,"",INDEX($C$8:$H$8,1,MATCH(MAX(C31:H31),C31:H31,0)))</f>
      </c>
      <c r="N31" s="4">
        <f>IF(COUNT(C31:H31)=0,"",INDEX($C$8:$H$8,1,MATCH(MIN(C31:H31),C31:H31,0)))</f>
      </c>
    </row>
    <row r="32">
      <c r="A32" s="4">
        <v>24</v>
      </c>
      <c r="B32" s="9"/>
      <c r="C32" s="6"/>
      <c r="D32" s="6"/>
      <c r="E32" s="6"/>
      <c r="F32" s="6"/>
      <c r="G32" s="6"/>
      <c r="H32" s="6"/>
      <c r="I32" s="4">
        <f>IF(COUNT(C32:H32)=0,"",ROUND(AVERAGE(C32:H32),0))</f>
      </c>
      <c r="J32" s="6"/>
      <c r="K32" s="6"/>
      <c r="L32" s="12">
        <f>IF(OR(I32="",J32="",K32=""),"",ROUND((I32*$E$5+J32*$G$5+K32*$I$5)/($E$5+$G$5+$I$5),0))</f>
      </c>
      <c r="M32" s="4">
        <f>IF(COUNT(C32:H32)=0,"",INDEX($C$8:$H$8,1,MATCH(MAX(C32:H32),C32:H32,0)))</f>
      </c>
      <c r="N32" s="4">
        <f>IF(COUNT(C32:H32)=0,"",INDEX($C$8:$H$8,1,MATCH(MIN(C32:H32),C32:H32,0)))</f>
      </c>
    </row>
    <row r="33">
      <c r="A33" s="4">
        <v>25</v>
      </c>
      <c r="B33" s="9"/>
      <c r="C33" s="6"/>
      <c r="D33" s="6"/>
      <c r="E33" s="6"/>
      <c r="F33" s="6"/>
      <c r="G33" s="6"/>
      <c r="H33" s="6"/>
      <c r="I33" s="4">
        <f>IF(COUNT(C33:H33)=0,"",ROUND(AVERAGE(C33:H33),0))</f>
      </c>
      <c r="J33" s="6"/>
      <c r="K33" s="6"/>
      <c r="L33" s="12">
        <f>IF(OR(I33="",J33="",K33=""),"",ROUND((I33*$E$5+J33*$G$5+K33*$I$5)/($E$5+$G$5+$I$5),0))</f>
      </c>
      <c r="M33" s="4">
        <f>IF(COUNT(C33:H33)=0,"",INDEX($C$8:$H$8,1,MATCH(MAX(C33:H33),C33:H33,0)))</f>
      </c>
      <c r="N33" s="4">
        <f>IF(COUNT(C33:H33)=0,"",INDEX($C$8:$H$8,1,MATCH(MIN(C33:H33),C33:H33,0)))</f>
      </c>
    </row>
    <row r="34">
      <c r="A34" s="4">
        <v>26</v>
      </c>
      <c r="B34" s="9"/>
      <c r="C34" s="6"/>
      <c r="D34" s="6"/>
      <c r="E34" s="6"/>
      <c r="F34" s="6"/>
      <c r="G34" s="6"/>
      <c r="H34" s="6"/>
      <c r="I34" s="4">
        <f>IF(COUNT(C34:H34)=0,"",ROUND(AVERAGE(C34:H34),0))</f>
      </c>
      <c r="J34" s="6"/>
      <c r="K34" s="6"/>
      <c r="L34" s="12">
        <f>IF(OR(I34="",J34="",K34=""),"",ROUND((I34*$E$5+J34*$G$5+K34*$I$5)/($E$5+$G$5+$I$5),0))</f>
      </c>
      <c r="M34" s="4">
        <f>IF(COUNT(C34:H34)=0,"",INDEX($C$8:$H$8,1,MATCH(MAX(C34:H34),C34:H34,0)))</f>
      </c>
      <c r="N34" s="4">
        <f>IF(COUNT(C34:H34)=0,"",INDEX($C$8:$H$8,1,MATCH(MIN(C34:H34),C34:H34,0)))</f>
      </c>
    </row>
    <row r="35">
      <c r="A35" s="4">
        <v>27</v>
      </c>
      <c r="B35" s="9"/>
      <c r="C35" s="6"/>
      <c r="D35" s="6"/>
      <c r="E35" s="6"/>
      <c r="F35" s="6"/>
      <c r="G35" s="6"/>
      <c r="H35" s="6"/>
      <c r="I35" s="4">
        <f>IF(COUNT(C35:H35)=0,"",ROUND(AVERAGE(C35:H35),0))</f>
      </c>
      <c r="J35" s="6"/>
      <c r="K35" s="6"/>
      <c r="L35" s="12">
        <f>IF(OR(I35="",J35="",K35=""),"",ROUND((I35*$E$5+J35*$G$5+K35*$I$5)/($E$5+$G$5+$I$5),0))</f>
      </c>
      <c r="M35" s="4">
        <f>IF(COUNT(C35:H35)=0,"",INDEX($C$8:$H$8,1,MATCH(MAX(C35:H35),C35:H35,0)))</f>
      </c>
      <c r="N35" s="4">
        <f>IF(COUNT(C35:H35)=0,"",INDEX($C$8:$H$8,1,MATCH(MIN(C35:H35),C35:H35,0)))</f>
      </c>
    </row>
    <row r="36">
      <c r="A36" s="4">
        <v>28</v>
      </c>
      <c r="B36" s="9"/>
      <c r="C36" s="6"/>
      <c r="D36" s="6"/>
      <c r="E36" s="6"/>
      <c r="F36" s="6"/>
      <c r="G36" s="6"/>
      <c r="H36" s="6"/>
      <c r="I36" s="4">
        <f>IF(COUNT(C36:H36)=0,"",ROUND(AVERAGE(C36:H36),0))</f>
      </c>
      <c r="J36" s="6"/>
      <c r="K36" s="6"/>
      <c r="L36" s="12">
        <f>IF(OR(I36="",J36="",K36=""),"",ROUND((I36*$E$5+J36*$G$5+K36*$I$5)/($E$5+$G$5+$I$5),0))</f>
      </c>
      <c r="M36" s="4">
        <f>IF(COUNT(C36:H36)=0,"",INDEX($C$8:$H$8,1,MATCH(MAX(C36:H36),C36:H36,0)))</f>
      </c>
      <c r="N36" s="4">
        <f>IF(COUNT(C36:H36)=0,"",INDEX($C$8:$H$8,1,MATCH(MIN(C36:H36),C36:H36,0)))</f>
      </c>
    </row>
    <row r="37">
      <c r="A37" s="12"/>
      <c r="B37" s="16" t="inlineStr">
        <is>
          <t xml:space="preserve">Rata-rata kelas</t>
        </is>
      </c>
      <c r="C37" s="12">
        <f>IF(COUNT(C9:C36)=0,"",ROUND(AVERAGE(C9:C36),0))</f>
      </c>
      <c r="D37" s="12">
        <f>IF(COUNT(D9:D36)=0,"",ROUND(AVERAGE(D9:D36),0))</f>
      </c>
      <c r="E37" s="12">
        <f>IF(COUNT(E9:E36)=0,"",ROUND(AVERAGE(E9:E36),0))</f>
      </c>
      <c r="F37" s="12">
        <f>IF(COUNT(F9:F36)=0,"",ROUND(AVERAGE(F9:F36),0))</f>
      </c>
      <c r="G37" s="12">
        <f>IF(COUNT(G9:G36)=0,"",ROUND(AVERAGE(G9:G36),0))</f>
      </c>
      <c r="H37" s="12">
        <f>IF(COUNT(H9:H36)=0,"",ROUND(AVERAGE(H9:H36),0))</f>
      </c>
      <c r="I37" s="12">
        <f>IF(COUNT(I9:I36)=0,"",ROUND(AVERAGE(I9:I36),0))</f>
      </c>
      <c r="J37" s="12">
        <f>IF(COUNT(J9:J36)=0,"",ROUND(AVERAGE(J9:J36),0))</f>
      </c>
      <c r="K37" s="12">
        <f>IF(COUNT(K9:K36)=0,"",ROUND(AVERAGE(K9:K36),0))</f>
      </c>
      <c r="L37" s="12">
        <f>IF(COUNT(L9:L36)=0,"",ROUND(AVERAGE(L9:L36),0))</f>
      </c>
      <c r="M37" s="12"/>
      <c r="N37" s="12"/>
    </row>
    <row r="38">
      <c r="A38" s="12"/>
      <c r="B38" s="16" t="inlineStr">
        <is>
          <t xml:space="preserve">Nilai tertinggi</t>
        </is>
      </c>
      <c r="C38" s="12">
        <f>IF(COUNT(C9:C36)=0,"",ROUND(MAX(C9:C36),0))</f>
      </c>
      <c r="D38" s="12">
        <f>IF(COUNT(D9:D36)=0,"",ROUND(MAX(D9:D36),0))</f>
      </c>
      <c r="E38" s="12">
        <f>IF(COUNT(E9:E36)=0,"",ROUND(MAX(E9:E36),0))</f>
      </c>
      <c r="F38" s="12">
        <f>IF(COUNT(F9:F36)=0,"",ROUND(MAX(F9:F36),0))</f>
      </c>
      <c r="G38" s="12">
        <f>IF(COUNT(G9:G36)=0,"",ROUND(MAX(G9:G36),0))</f>
      </c>
      <c r="H38" s="12">
        <f>IF(COUNT(H9:H36)=0,"",ROUND(MAX(H9:H36),0))</f>
      </c>
      <c r="I38" s="12">
        <f>IF(COUNT(I9:I36)=0,"",ROUND(MAX(I9:I36),0))</f>
      </c>
      <c r="J38" s="12">
        <f>IF(COUNT(J9:J36)=0,"",ROUND(MAX(J9:J36),0))</f>
      </c>
      <c r="K38" s="12">
        <f>IF(COUNT(K9:K36)=0,"",ROUND(MAX(K9:K36),0))</f>
      </c>
      <c r="L38" s="12">
        <f>IF(COUNT(L9:L36)=0,"",ROUND(MAX(L9:L36),0))</f>
      </c>
      <c r="M38" s="12"/>
      <c r="N38" s="12"/>
    </row>
    <row r="39">
      <c r="A39" s="12"/>
      <c r="B39" s="16" t="inlineStr">
        <is>
          <t xml:space="preserve">Nilai terendah</t>
        </is>
      </c>
      <c r="C39" s="12">
        <f>IF(COUNT(C9:C36)=0,"",ROUND(MIN(C9:C36),0))</f>
      </c>
      <c r="D39" s="12">
        <f>IF(COUNT(D9:D36)=0,"",ROUND(MIN(D9:D36),0))</f>
      </c>
      <c r="E39" s="12">
        <f>IF(COUNT(E9:E36)=0,"",ROUND(MIN(E9:E36),0))</f>
      </c>
      <c r="F39" s="12">
        <f>IF(COUNT(F9:F36)=0,"",ROUND(MIN(F9:F36),0))</f>
      </c>
      <c r="G39" s="12">
        <f>IF(COUNT(G9:G36)=0,"",ROUND(MIN(G9:G36),0))</f>
      </c>
      <c r="H39" s="12">
        <f>IF(COUNT(H9:H36)=0,"",ROUND(MIN(H9:H36),0))</f>
      </c>
      <c r="I39" s="12">
        <f>IF(COUNT(I9:I36)=0,"",ROUND(MIN(I9:I36),0))</f>
      </c>
      <c r="J39" s="12">
        <f>IF(COUNT(J9:J36)=0,"",ROUND(MIN(J9:J36),0))</f>
      </c>
      <c r="K39" s="12">
        <f>IF(COUNT(K9:K36)=0,"",ROUND(MIN(K9:K36),0))</f>
      </c>
      <c r="L39" s="12">
        <f>IF(COUNT(L9:L36)=0,"",ROUND(MIN(L9:L36),0))</f>
      </c>
      <c r="M39" s="12"/>
      <c r="N39" s="12"/>
    </row>
    <row r="40"/>
    <row r="41">
      <c r="A41" s="5" t="inlineStr">
        <is>
          <t xml:space="preserve">Isi nilai 0–100 pada sel kuning. Rata-rata formatif, nilai rapor, dan TP tertinggi/terendah terhitung otomatis. TP tertinggi/terendah membantu menulis deskripsi capaian rapor.</t>
        </is>
      </c>
    </row>
    <row r="42">
      <c r="A42" s="5" t="inlineStr">
        <is>
          <t xml:space="preserve">Nilai di bawah 70 (batas ketuntasan sekolah) otomatis berwarna merah.</t>
        </is>
      </c>
    </row>
    <row r="43">
      <c r="A43" s="5" t="inlineStr">
        <is>
          <t xml:space="preserve">Rumus terkunci agar tidak terhapus (tanpa kata sandi: Tinjau &gt; Buka Proteksi Lembar). Keterangan TP ada di lembar kedua.</t>
        </is>
      </c>
    </row>
    <row r="44"/>
    <row r="45">
      <c r="B45" s="13" t="inlineStr">
        <is>
          <t xml:space="preserve">Mengetahui,</t>
        </is>
      </c>
      <c r="K45" s="13" t="inlineStr">
        <is>
          <t xml:space="preserve">Bandung, ....................</t>
        </is>
      </c>
    </row>
    <row r="46">
      <c r="B46" s="13" t="inlineStr">
        <is>
          <t xml:space="preserve">Kepala Sekolah</t>
        </is>
      </c>
      <c r="K46" s="13" t="inlineStr">
        <is>
          <t xml:space="preserve">Guru Kelas 4</t>
        </is>
      </c>
    </row>
    <row r="47">
      <c r="B47" s="13"/>
      <c r="K47" s="13"/>
    </row>
    <row r="48">
      <c r="B48" s="13"/>
      <c r="K48" s="13"/>
    </row>
    <row r="49">
      <c r="B49" s="13"/>
      <c r="K49" s="13"/>
    </row>
    <row r="50">
      <c r="B50" s="14" t="inlineStr">
        <is>
          <t xml:space="preserve">Ahmad Fauzi, S.Pd.</t>
        </is>
      </c>
      <c r="K50" s="14" t="inlineStr">
        <is>
          <t xml:space="preserve">Rina Kartika, S.Pd.</t>
        </is>
      </c>
    </row>
  </sheetData>
  <sheetProtection sheet="1" objects="1" scenarios="1" formatCells="0" formatColumns="0" formatRows="0" sort="0" autoFilter="0"/>
  <mergeCells count="20">
    <mergeCell ref="A1:N1"/>
    <mergeCell ref="A2:N2"/>
    <mergeCell ref="A3:N3"/>
    <mergeCell ref="A5:B5"/>
    <mergeCell ref="C5:D5"/>
    <mergeCell ref="A7:A8"/>
    <mergeCell ref="B7:B8"/>
    <mergeCell ref="C7:H7"/>
    <mergeCell ref="I7:I8"/>
    <mergeCell ref="J7:J8"/>
    <mergeCell ref="K7:K8"/>
    <mergeCell ref="L7:L8"/>
    <mergeCell ref="M7:M8"/>
    <mergeCell ref="N7:N8"/>
    <mergeCell ref="K45:N45"/>
    <mergeCell ref="K46:N46"/>
    <mergeCell ref="K47:N47"/>
    <mergeCell ref="K48:N48"/>
    <mergeCell ref="K49:N49"/>
    <mergeCell ref="K50:N50"/>
  </mergeCells>
  <conditionalFormatting sqref="C9:L36">
    <cfRule type="cellIs" dxfId="3" priority="1" operator="lessThan">
      <formula>70</formula>
    </cfRule>
  </conditionalFormatting>
  <dataValidations count="2">
    <dataValidation type="decimal" operator="between" allowBlank="1" showInputMessage="1" showErrorMessage="1" errorTitle="Nilai" error="Isi angka 0 sampai 100." promptTitle="Nilai" prompt="Isi angka 0 sampai 100." sqref="C9:H36 J9:K36">
      <formula1>0</formula1>
      <formula2>100</formula2>
    </dataValidation>
    <dataValidation type="decimal" operator="between" allowBlank="1" showInputMessage="1" showErrorMessage="1" errorTitle="Bobot" error="Isi persentase bobot 0 sampai 100." promptTitle="Bobot" prompt="Isi persentase bobot 0 sampai 100." sqref="E5 G5 I5">
      <formula1>0</formula1>
      <formula2>100</formula2>
    </dataValidation>
  </dataValidations>
  <printOptions horizontalCentered="1"/>
  <pageMargins left="0.4" right="0.4" top="0.5" bottom="0.6" header="0.3" footer="0.3"/>
  <pageSetup paperSize="9" orientation="landscape" fitToWidth="1" fitToHeight="0"/>
  <headerFooter>
    <oddFooter>&amp;C&amp;8Halaman &amp;P dari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 zoomScale="100"/>
  </sheetViews>
  <sheetFormatPr defaultRowHeight="15"/>
  <cols>
    <col min="1" max="1" width="8" customWidth="1"/>
    <col min="2" max="2" width="90" customWidth="1"/>
    <col min="3" max="3" width="6" customWidth="1"/>
  </cols>
  <sheetData>
    <row r="1">
      <c r="A1" s="11" t="inlineStr">
        <is>
          <t xml:space="preserve">KETERANGAN TUJUAN PEMBELAJARAN — MATEMATIKA SEMESTER 1</t>
        </is>
      </c>
    </row>
    <row r="2"/>
    <row r="3">
      <c r="A3" s="2" t="inlineStr">
        <is>
          <t xml:space="preserve">Kode</t>
        </is>
      </c>
      <c r="B3" s="2" t="inlineStr">
        <is>
          <t xml:space="preserve">Tujuan Pembelajaran</t>
        </is>
      </c>
      <c r="C3" s="2" t="inlineStr">
        <is>
          <t xml:space="preserve">JP</t>
        </is>
      </c>
    </row>
    <row r="4">
      <c r="A4" s="4" t="inlineStr">
        <is>
          <t xml:space="preserve">TP1</t>
        </is>
      </c>
      <c r="B4" s="3" t="inlineStr">
        <is>
          <t xml:space="preserve">Membaca, menulis, membandingkan, dan mengurutkan bilangan cacah sampai 10.000 berdasarkan nilai tempat</t>
        </is>
      </c>
      <c r="C4" s="4">
        <v>15</v>
      </c>
    </row>
    <row r="5">
      <c r="A5" s="4" t="inlineStr">
        <is>
          <t xml:space="preserve">TP2</t>
        </is>
      </c>
      <c r="B5" s="3" t="inlineStr">
        <is>
          <t xml:space="preserve">Menentukan hasil penjumlahan dan pengurangan bilangan cacah sampai 1.000 serta menyelesaikan masalahnya</t>
        </is>
      </c>
      <c r="C5" s="4">
        <v>15</v>
      </c>
    </row>
    <row r="6">
      <c r="A6" s="4" t="inlineStr">
        <is>
          <t xml:space="preserve">TP3</t>
        </is>
      </c>
      <c r="B6" s="3" t="inlineStr">
        <is>
          <t xml:space="preserve">Menentukan hasil perkalian dan pembagian bilangan cacah sampai 100 serta menyelesaikan masalahnya</t>
        </is>
      </c>
      <c r="C6" s="4">
        <v>20</v>
      </c>
    </row>
    <row r="7">
      <c r="A7" s="4" t="inlineStr">
        <is>
          <t xml:space="preserve">TP4</t>
        </is>
      </c>
      <c r="B7" s="3" t="inlineStr">
        <is>
          <t xml:space="preserve">Menentukan kelipatan dan faktor suatu bilangan serta menyelesaikan masalah yang berkaitan</t>
        </is>
      </c>
      <c r="C7" s="4">
        <v>10</v>
      </c>
    </row>
    <row r="8">
      <c r="A8" s="4" t="inlineStr">
        <is>
          <t xml:space="preserve">TP5</t>
        </is>
      </c>
      <c r="B8" s="3" t="inlineStr">
        <is>
          <t xml:space="preserve">Mengembangkan pola gambar dan pola bilangan serta menemukan nilai yang tidak diketahui dalam kalimat matematika penjumlahan dan pengurangan sampai 100</t>
        </is>
      </c>
      <c r="C8" s="4">
        <v>15</v>
      </c>
    </row>
    <row r="9">
      <c r="A9" s="4" t="inlineStr">
        <is>
          <t xml:space="preserve">TP6</t>
        </is>
      </c>
      <c r="B9" s="3" t="inlineStr">
        <is>
          <t xml:space="preserve">Menyajikan dan menginterpretasi data dalam tabel, piktogram, dan diagram batang skala satu satuan</t>
        </is>
      </c>
      <c r="C9" s="4">
        <v>10</v>
      </c>
    </row>
  </sheetData>
  <mergeCells count="1">
    <mergeCell ref="A1:C1"/>
  </mergeCells>
  <printOptions horizontalCentered="1"/>
  <pageMargins left="0.4" right="0.4" top="0.5" bottom="0.6" header="0.3" footer="0.3"/>
  <pageSetup paperSize="9" orientation="landscape" fitToWidth="1" fitToHeight="0"/>
  <headerFooter>
    <oddFooter>&amp;C&amp;8Halaman &amp;P dari &amp;N</oddFooter>
  </headerFooter>
</worksheet>
</file>