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Smt 1" sheetId="1" r:id="rId1"/>
    <sheet name="Keterangan TP" sheetId="2" r:id="rId2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4"/>
      <name val="Arial"/>
    </font>
    <font>
      <b/>
      <sz val="10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3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7" topLeftCell="C8" activePane="bottomRight" state="frozen"/>
    </sheetView>
  </sheetViews>
  <cols>
    <col min="1" max="1" width="5" customWidth="1"/>
    <col min="2" max="2" width="28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11" customWidth="1"/>
    <col min="9" max="9" width="7" customWidth="1"/>
    <col min="10" max="10" width="7" customWidth="1"/>
    <col min="11" max="11" width="9" customWidth="1"/>
    <col min="12" max="12" width="10" customWidth="1"/>
    <col min="13" max="13" width="10" customWidth="1"/>
  </cols>
  <sheetData>
    <row r="1">
      <c r="A1" s="1" t="inlineStr">
        <is>
          <t xml:space="preserve">BUKU NILAI MATEMATIKA — KELAS 4 — SEMESTER 1</t>
        </is>
      </c>
    </row>
    <row r="2">
      <c r="A2" t="inlineStr">
        <is>
          <t xml:space="preserve">Sekolah: ............    Guru: Bu Rina    Tahun ajaran: 2026/2027</t>
        </is>
      </c>
    </row>
    <row r="3">
      <c r="A3" s="5" t="inlineStr">
        <is>
          <t xml:space="preserve">Isi nilai 0–100 pada sel kuning. Rata-rata formatif, nilai rapor, serta TP tertinggi/terendah terhitung otomatis. Ketik nama siswa langsung di berkas ini.</t>
        </is>
      </c>
    </row>
    <row r="4">
      <c r="A4" s="2" t="inlineStr">
        <is>
          <t xml:space="preserve">Bobot (%)</t>
        </is>
      </c>
      <c r="B4" s="2" t="inlineStr">
        <is>
          <t xml:space="preserve">Formatif</t>
        </is>
      </c>
      <c r="C4" s="6">
        <v>50</v>
      </c>
      <c r="D4" s="2" t="inlineStr">
        <is>
          <t xml:space="preserve">STS</t>
        </is>
      </c>
      <c r="E4" s="6">
        <v>25</v>
      </c>
      <c r="F4" s="2" t="inlineStr">
        <is>
          <t xml:space="preserve">SAS</t>
        </is>
      </c>
      <c r="G4" s="6">
        <v>25</v>
      </c>
    </row>
    <row r="5">
      <c r="A5" s="5" t="inlineStr">
        <is>
          <t xml:space="preserve">Bobot ini bawaan asisten dan belum ditetapkan sekolah — ubah sel kuning di atas bila perlu.</t>
        </is>
      </c>
    </row>
    <row r="6"/>
    <row r="7">
      <c r="A7" s="2" t="inlineStr">
        <is>
          <t xml:space="preserve">No</t>
        </is>
      </c>
      <c r="B7" s="2" t="inlineStr">
        <is>
          <t xml:space="preserve">Nama siswa</t>
        </is>
      </c>
      <c r="C7" s="2" t="inlineStr">
        <is>
          <t xml:space="preserve">TP1</t>
        </is>
      </c>
      <c r="D7" s="2" t="inlineStr">
        <is>
          <t xml:space="preserve">TP2</t>
        </is>
      </c>
      <c r="E7" s="2" t="inlineStr">
        <is>
          <t xml:space="preserve">TP3</t>
        </is>
      </c>
      <c r="F7" s="2" t="inlineStr">
        <is>
          <t xml:space="preserve">TP4</t>
        </is>
      </c>
      <c r="G7" s="2" t="inlineStr">
        <is>
          <t xml:space="preserve">TP5</t>
        </is>
      </c>
      <c r="H7" s="2" t="inlineStr">
        <is>
          <t xml:space="preserve">Rata-rata formatif</t>
        </is>
      </c>
      <c r="I7" s="2" t="inlineStr">
        <is>
          <t xml:space="preserve">STS</t>
        </is>
      </c>
      <c r="J7" s="2" t="inlineStr">
        <is>
          <t xml:space="preserve">SAS</t>
        </is>
      </c>
      <c r="K7" s="2" t="inlineStr">
        <is>
          <t xml:space="preserve">Nilai rapor</t>
        </is>
      </c>
      <c r="L7" s="2" t="inlineStr">
        <is>
          <t xml:space="preserve">TP tertinggi</t>
        </is>
      </c>
      <c r="M7" s="2" t="inlineStr">
        <is>
          <t xml:space="preserve">TP terendah</t>
        </is>
      </c>
    </row>
    <row r="8">
      <c r="A8" s="4">
        <v>1</v>
      </c>
      <c r="B8" s="3"/>
      <c r="C8" s="6"/>
      <c r="D8" s="6"/>
      <c r="E8" s="6"/>
      <c r="F8" s="6"/>
      <c r="G8" s="6"/>
      <c r="H8" s="4">
        <f>IFERROR(ROUND(AVERAGE(C8:G8),0),"")</f>
      </c>
      <c r="I8" s="6"/>
      <c r="J8" s="6"/>
      <c r="K8" s="4">
        <f>IF(OR(H8="",I8="",J8=""),"",ROUND((H8*$C$4+I8*$E$4+J8*$G$4)/($C$4+$E$4+$G$4),0))</f>
      </c>
      <c r="L8" s="4">
        <f>IF(COUNT(C8:G8)=0,"",INDEX($C$7:$G$7,MATCH(MAX(C8:G8),C8:G8,0)))</f>
      </c>
      <c r="M8" s="4">
        <f>IF(COUNT(C8:G8)=0,"",INDEX($C$7:$G$7,MATCH(MIN(C8:G8),C8:G8,0)))</f>
      </c>
    </row>
    <row r="9">
      <c r="A9" s="4">
        <v>2</v>
      </c>
      <c r="B9" s="3"/>
      <c r="C9" s="6"/>
      <c r="D9" s="6"/>
      <c r="E9" s="6"/>
      <c r="F9" s="6"/>
      <c r="G9" s="6"/>
      <c r="H9" s="4">
        <f>IFERROR(ROUND(AVERAGE(C9:G9),0),"")</f>
      </c>
      <c r="I9" s="6"/>
      <c r="J9" s="6"/>
      <c r="K9" s="4">
        <f>IF(OR(H9="",I9="",J9=""),"",ROUND((H9*$C$4+I9*$E$4+J9*$G$4)/($C$4+$E$4+$G$4),0))</f>
      </c>
      <c r="L9" s="4">
        <f>IF(COUNT(C9:G9)=0,"",INDEX($C$7:$G$7,MATCH(MAX(C9:G9),C9:G9,0)))</f>
      </c>
      <c r="M9" s="4">
        <f>IF(COUNT(C9:G9)=0,"",INDEX($C$7:$G$7,MATCH(MIN(C9:G9),C9:G9,0)))</f>
      </c>
    </row>
    <row r="10">
      <c r="A10" s="4">
        <v>3</v>
      </c>
      <c r="B10" s="3"/>
      <c r="C10" s="6"/>
      <c r="D10" s="6"/>
      <c r="E10" s="6"/>
      <c r="F10" s="6"/>
      <c r="G10" s="6"/>
      <c r="H10" s="4">
        <f>IFERROR(ROUND(AVERAGE(C10:G10),0),"")</f>
      </c>
      <c r="I10" s="6"/>
      <c r="J10" s="6"/>
      <c r="K10" s="4">
        <f>IF(OR(H10="",I10="",J10=""),"",ROUND((H10*$C$4+I10*$E$4+J10*$G$4)/($C$4+$E$4+$G$4),0))</f>
      </c>
      <c r="L10" s="4">
        <f>IF(COUNT(C10:G10)=0,"",INDEX($C$7:$G$7,MATCH(MAX(C10:G10),C10:G10,0)))</f>
      </c>
      <c r="M10" s="4">
        <f>IF(COUNT(C10:G10)=0,"",INDEX($C$7:$G$7,MATCH(MIN(C10:G10),C10:G10,0)))</f>
      </c>
    </row>
    <row r="11">
      <c r="A11" s="4">
        <v>4</v>
      </c>
      <c r="B11" s="3"/>
      <c r="C11" s="6"/>
      <c r="D11" s="6"/>
      <c r="E11" s="6"/>
      <c r="F11" s="6"/>
      <c r="G11" s="6"/>
      <c r="H11" s="4">
        <f>IFERROR(ROUND(AVERAGE(C11:G11),0),"")</f>
      </c>
      <c r="I11" s="6"/>
      <c r="J11" s="6"/>
      <c r="K11" s="4">
        <f>IF(OR(H11="",I11="",J11=""),"",ROUND((H11*$C$4+I11*$E$4+J11*$G$4)/($C$4+$E$4+$G$4),0))</f>
      </c>
      <c r="L11" s="4">
        <f>IF(COUNT(C11:G11)=0,"",INDEX($C$7:$G$7,MATCH(MAX(C11:G11),C11:G11,0)))</f>
      </c>
      <c r="M11" s="4">
        <f>IF(COUNT(C11:G11)=0,"",INDEX($C$7:$G$7,MATCH(MIN(C11:G11),C11:G11,0)))</f>
      </c>
    </row>
    <row r="12">
      <c r="A12" s="4">
        <v>5</v>
      </c>
      <c r="B12" s="3"/>
      <c r="C12" s="6"/>
      <c r="D12" s="6"/>
      <c r="E12" s="6"/>
      <c r="F12" s="6"/>
      <c r="G12" s="6"/>
      <c r="H12" s="4">
        <f>IFERROR(ROUND(AVERAGE(C12:G12),0),"")</f>
      </c>
      <c r="I12" s="6"/>
      <c r="J12" s="6"/>
      <c r="K12" s="4">
        <f>IF(OR(H12="",I12="",J12=""),"",ROUND((H12*$C$4+I12*$E$4+J12*$G$4)/($C$4+$E$4+$G$4),0))</f>
      </c>
      <c r="L12" s="4">
        <f>IF(COUNT(C12:G12)=0,"",INDEX($C$7:$G$7,MATCH(MAX(C12:G12),C12:G12,0)))</f>
      </c>
      <c r="M12" s="4">
        <f>IF(COUNT(C12:G12)=0,"",INDEX($C$7:$G$7,MATCH(MIN(C12:G12),C12:G12,0)))</f>
      </c>
    </row>
    <row r="13">
      <c r="A13" s="4">
        <v>6</v>
      </c>
      <c r="B13" s="3"/>
      <c r="C13" s="6"/>
      <c r="D13" s="6"/>
      <c r="E13" s="6"/>
      <c r="F13" s="6"/>
      <c r="G13" s="6"/>
      <c r="H13" s="4">
        <f>IFERROR(ROUND(AVERAGE(C13:G13),0),"")</f>
      </c>
      <c r="I13" s="6"/>
      <c r="J13" s="6"/>
      <c r="K13" s="4">
        <f>IF(OR(H13="",I13="",J13=""),"",ROUND((H13*$C$4+I13*$E$4+J13*$G$4)/($C$4+$E$4+$G$4),0))</f>
      </c>
      <c r="L13" s="4">
        <f>IF(COUNT(C13:G13)=0,"",INDEX($C$7:$G$7,MATCH(MAX(C13:G13),C13:G13,0)))</f>
      </c>
      <c r="M13" s="4">
        <f>IF(COUNT(C13:G13)=0,"",INDEX($C$7:$G$7,MATCH(MIN(C13:G13),C13:G13,0)))</f>
      </c>
    </row>
    <row r="14">
      <c r="A14" s="4">
        <v>7</v>
      </c>
      <c r="B14" s="3"/>
      <c r="C14" s="6"/>
      <c r="D14" s="6"/>
      <c r="E14" s="6"/>
      <c r="F14" s="6"/>
      <c r="G14" s="6"/>
      <c r="H14" s="4">
        <f>IFERROR(ROUND(AVERAGE(C14:G14),0),"")</f>
      </c>
      <c r="I14" s="6"/>
      <c r="J14" s="6"/>
      <c r="K14" s="4">
        <f>IF(OR(H14="",I14="",J14=""),"",ROUND((H14*$C$4+I14*$E$4+J14*$G$4)/($C$4+$E$4+$G$4),0))</f>
      </c>
      <c r="L14" s="4">
        <f>IF(COUNT(C14:G14)=0,"",INDEX($C$7:$G$7,MATCH(MAX(C14:G14),C14:G14,0)))</f>
      </c>
      <c r="M14" s="4">
        <f>IF(COUNT(C14:G14)=0,"",INDEX($C$7:$G$7,MATCH(MIN(C14:G14),C14:G14,0)))</f>
      </c>
    </row>
    <row r="15">
      <c r="A15" s="4">
        <v>8</v>
      </c>
      <c r="B15" s="3"/>
      <c r="C15" s="6"/>
      <c r="D15" s="6"/>
      <c r="E15" s="6"/>
      <c r="F15" s="6"/>
      <c r="G15" s="6"/>
      <c r="H15" s="4">
        <f>IFERROR(ROUND(AVERAGE(C15:G15),0),"")</f>
      </c>
      <c r="I15" s="6"/>
      <c r="J15" s="6"/>
      <c r="K15" s="4">
        <f>IF(OR(H15="",I15="",J15=""),"",ROUND((H15*$C$4+I15*$E$4+J15*$G$4)/($C$4+$E$4+$G$4),0))</f>
      </c>
      <c r="L15" s="4">
        <f>IF(COUNT(C15:G15)=0,"",INDEX($C$7:$G$7,MATCH(MAX(C15:G15),C15:G15,0)))</f>
      </c>
      <c r="M15" s="4">
        <f>IF(COUNT(C15:G15)=0,"",INDEX($C$7:$G$7,MATCH(MIN(C15:G15),C15:G15,0)))</f>
      </c>
    </row>
    <row r="16">
      <c r="A16" s="4">
        <v>9</v>
      </c>
      <c r="B16" s="3"/>
      <c r="C16" s="6"/>
      <c r="D16" s="6"/>
      <c r="E16" s="6"/>
      <c r="F16" s="6"/>
      <c r="G16" s="6"/>
      <c r="H16" s="4">
        <f>IFERROR(ROUND(AVERAGE(C16:G16),0),"")</f>
      </c>
      <c r="I16" s="6"/>
      <c r="J16" s="6"/>
      <c r="K16" s="4">
        <f>IF(OR(H16="",I16="",J16=""),"",ROUND((H16*$C$4+I16*$E$4+J16*$G$4)/($C$4+$E$4+$G$4),0))</f>
      </c>
      <c r="L16" s="4">
        <f>IF(COUNT(C16:G16)=0,"",INDEX($C$7:$G$7,MATCH(MAX(C16:G16),C16:G16,0)))</f>
      </c>
      <c r="M16" s="4">
        <f>IF(COUNT(C16:G16)=0,"",INDEX($C$7:$G$7,MATCH(MIN(C16:G16),C16:G16,0)))</f>
      </c>
    </row>
    <row r="17">
      <c r="A17" s="4">
        <v>10</v>
      </c>
      <c r="B17" s="3"/>
      <c r="C17" s="6"/>
      <c r="D17" s="6"/>
      <c r="E17" s="6"/>
      <c r="F17" s="6"/>
      <c r="G17" s="6"/>
      <c r="H17" s="4">
        <f>IFERROR(ROUND(AVERAGE(C17:G17),0),"")</f>
      </c>
      <c r="I17" s="6"/>
      <c r="J17" s="6"/>
      <c r="K17" s="4">
        <f>IF(OR(H17="",I17="",J17=""),"",ROUND((H17*$C$4+I17*$E$4+J17*$G$4)/($C$4+$E$4+$G$4),0))</f>
      </c>
      <c r="L17" s="4">
        <f>IF(COUNT(C17:G17)=0,"",INDEX($C$7:$G$7,MATCH(MAX(C17:G17),C17:G17,0)))</f>
      </c>
      <c r="M17" s="4">
        <f>IF(COUNT(C17:G17)=0,"",INDEX($C$7:$G$7,MATCH(MIN(C17:G17),C17:G17,0)))</f>
      </c>
    </row>
    <row r="18">
      <c r="A18" s="4">
        <v>11</v>
      </c>
      <c r="B18" s="3"/>
      <c r="C18" s="6"/>
      <c r="D18" s="6"/>
      <c r="E18" s="6"/>
      <c r="F18" s="6"/>
      <c r="G18" s="6"/>
      <c r="H18" s="4">
        <f>IFERROR(ROUND(AVERAGE(C18:G18),0),"")</f>
      </c>
      <c r="I18" s="6"/>
      <c r="J18" s="6"/>
      <c r="K18" s="4">
        <f>IF(OR(H18="",I18="",J18=""),"",ROUND((H18*$C$4+I18*$E$4+J18*$G$4)/($C$4+$E$4+$G$4),0))</f>
      </c>
      <c r="L18" s="4">
        <f>IF(COUNT(C18:G18)=0,"",INDEX($C$7:$G$7,MATCH(MAX(C18:G18),C18:G18,0)))</f>
      </c>
      <c r="M18" s="4">
        <f>IF(COUNT(C18:G18)=0,"",INDEX($C$7:$G$7,MATCH(MIN(C18:G18),C18:G18,0)))</f>
      </c>
    </row>
    <row r="19">
      <c r="A19" s="4">
        <v>12</v>
      </c>
      <c r="B19" s="3"/>
      <c r="C19" s="6"/>
      <c r="D19" s="6"/>
      <c r="E19" s="6"/>
      <c r="F19" s="6"/>
      <c r="G19" s="6"/>
      <c r="H19" s="4">
        <f>IFERROR(ROUND(AVERAGE(C19:G19),0),"")</f>
      </c>
      <c r="I19" s="6"/>
      <c r="J19" s="6"/>
      <c r="K19" s="4">
        <f>IF(OR(H19="",I19="",J19=""),"",ROUND((H19*$C$4+I19*$E$4+J19*$G$4)/($C$4+$E$4+$G$4),0))</f>
      </c>
      <c r="L19" s="4">
        <f>IF(COUNT(C19:G19)=0,"",INDEX($C$7:$G$7,MATCH(MAX(C19:G19),C19:G19,0)))</f>
      </c>
      <c r="M19" s="4">
        <f>IF(COUNT(C19:G19)=0,"",INDEX($C$7:$G$7,MATCH(MIN(C19:G19),C19:G19,0)))</f>
      </c>
    </row>
    <row r="20">
      <c r="A20" s="4">
        <v>13</v>
      </c>
      <c r="B20" s="3"/>
      <c r="C20" s="6"/>
      <c r="D20" s="6"/>
      <c r="E20" s="6"/>
      <c r="F20" s="6"/>
      <c r="G20" s="6"/>
      <c r="H20" s="4">
        <f>IFERROR(ROUND(AVERAGE(C20:G20),0),"")</f>
      </c>
      <c r="I20" s="6"/>
      <c r="J20" s="6"/>
      <c r="K20" s="4">
        <f>IF(OR(H20="",I20="",J20=""),"",ROUND((H20*$C$4+I20*$E$4+J20*$G$4)/($C$4+$E$4+$G$4),0))</f>
      </c>
      <c r="L20" s="4">
        <f>IF(COUNT(C20:G20)=0,"",INDEX($C$7:$G$7,MATCH(MAX(C20:G20),C20:G20,0)))</f>
      </c>
      <c r="M20" s="4">
        <f>IF(COUNT(C20:G20)=0,"",INDEX($C$7:$G$7,MATCH(MIN(C20:G20),C20:G20,0)))</f>
      </c>
    </row>
    <row r="21">
      <c r="A21" s="4">
        <v>14</v>
      </c>
      <c r="B21" s="3"/>
      <c r="C21" s="6"/>
      <c r="D21" s="6"/>
      <c r="E21" s="6"/>
      <c r="F21" s="6"/>
      <c r="G21" s="6"/>
      <c r="H21" s="4">
        <f>IFERROR(ROUND(AVERAGE(C21:G21),0),"")</f>
      </c>
      <c r="I21" s="6"/>
      <c r="J21" s="6"/>
      <c r="K21" s="4">
        <f>IF(OR(H21="",I21="",J21=""),"",ROUND((H21*$C$4+I21*$E$4+J21*$G$4)/($C$4+$E$4+$G$4),0))</f>
      </c>
      <c r="L21" s="4">
        <f>IF(COUNT(C21:G21)=0,"",INDEX($C$7:$G$7,MATCH(MAX(C21:G21),C21:G21,0)))</f>
      </c>
      <c r="M21" s="4">
        <f>IF(COUNT(C21:G21)=0,"",INDEX($C$7:$G$7,MATCH(MIN(C21:G21),C21:G21,0)))</f>
      </c>
    </row>
    <row r="22">
      <c r="A22" s="4">
        <v>15</v>
      </c>
      <c r="B22" s="3"/>
      <c r="C22" s="6"/>
      <c r="D22" s="6"/>
      <c r="E22" s="6"/>
      <c r="F22" s="6"/>
      <c r="G22" s="6"/>
      <c r="H22" s="4">
        <f>IFERROR(ROUND(AVERAGE(C22:G22),0),"")</f>
      </c>
      <c r="I22" s="6"/>
      <c r="J22" s="6"/>
      <c r="K22" s="4">
        <f>IF(OR(H22="",I22="",J22=""),"",ROUND((H22*$C$4+I22*$E$4+J22*$G$4)/($C$4+$E$4+$G$4),0))</f>
      </c>
      <c r="L22" s="4">
        <f>IF(COUNT(C22:G22)=0,"",INDEX($C$7:$G$7,MATCH(MAX(C22:G22),C22:G22,0)))</f>
      </c>
      <c r="M22" s="4">
        <f>IF(COUNT(C22:G22)=0,"",INDEX($C$7:$G$7,MATCH(MIN(C22:G22),C22:G22,0)))</f>
      </c>
    </row>
    <row r="23">
      <c r="A23" s="4">
        <v>16</v>
      </c>
      <c r="B23" s="3"/>
      <c r="C23" s="6"/>
      <c r="D23" s="6"/>
      <c r="E23" s="6"/>
      <c r="F23" s="6"/>
      <c r="G23" s="6"/>
      <c r="H23" s="4">
        <f>IFERROR(ROUND(AVERAGE(C23:G23),0),"")</f>
      </c>
      <c r="I23" s="6"/>
      <c r="J23" s="6"/>
      <c r="K23" s="4">
        <f>IF(OR(H23="",I23="",J23=""),"",ROUND((H23*$C$4+I23*$E$4+J23*$G$4)/($C$4+$E$4+$G$4),0))</f>
      </c>
      <c r="L23" s="4">
        <f>IF(COUNT(C23:G23)=0,"",INDEX($C$7:$G$7,MATCH(MAX(C23:G23),C23:G23,0)))</f>
      </c>
      <c r="M23" s="4">
        <f>IF(COUNT(C23:G23)=0,"",INDEX($C$7:$G$7,MATCH(MIN(C23:G23),C23:G23,0)))</f>
      </c>
    </row>
    <row r="24">
      <c r="A24" s="4">
        <v>17</v>
      </c>
      <c r="B24" s="3"/>
      <c r="C24" s="6"/>
      <c r="D24" s="6"/>
      <c r="E24" s="6"/>
      <c r="F24" s="6"/>
      <c r="G24" s="6"/>
      <c r="H24" s="4">
        <f>IFERROR(ROUND(AVERAGE(C24:G24),0),"")</f>
      </c>
      <c r="I24" s="6"/>
      <c r="J24" s="6"/>
      <c r="K24" s="4">
        <f>IF(OR(H24="",I24="",J24=""),"",ROUND((H24*$C$4+I24*$E$4+J24*$G$4)/($C$4+$E$4+$G$4),0))</f>
      </c>
      <c r="L24" s="4">
        <f>IF(COUNT(C24:G24)=0,"",INDEX($C$7:$G$7,MATCH(MAX(C24:G24),C24:G24,0)))</f>
      </c>
      <c r="M24" s="4">
        <f>IF(COUNT(C24:G24)=0,"",INDEX($C$7:$G$7,MATCH(MIN(C24:G24),C24:G24,0)))</f>
      </c>
    </row>
    <row r="25">
      <c r="A25" s="4">
        <v>18</v>
      </c>
      <c r="B25" s="3"/>
      <c r="C25" s="6"/>
      <c r="D25" s="6"/>
      <c r="E25" s="6"/>
      <c r="F25" s="6"/>
      <c r="G25" s="6"/>
      <c r="H25" s="4">
        <f>IFERROR(ROUND(AVERAGE(C25:G25),0),"")</f>
      </c>
      <c r="I25" s="6"/>
      <c r="J25" s="6"/>
      <c r="K25" s="4">
        <f>IF(OR(H25="",I25="",J25=""),"",ROUND((H25*$C$4+I25*$E$4+J25*$G$4)/($C$4+$E$4+$G$4),0))</f>
      </c>
      <c r="L25" s="4">
        <f>IF(COUNT(C25:G25)=0,"",INDEX($C$7:$G$7,MATCH(MAX(C25:G25),C25:G25,0)))</f>
      </c>
      <c r="M25" s="4">
        <f>IF(COUNT(C25:G25)=0,"",INDEX($C$7:$G$7,MATCH(MIN(C25:G25),C25:G25,0)))</f>
      </c>
    </row>
    <row r="26">
      <c r="A26" s="4">
        <v>19</v>
      </c>
      <c r="B26" s="3"/>
      <c r="C26" s="6"/>
      <c r="D26" s="6"/>
      <c r="E26" s="6"/>
      <c r="F26" s="6"/>
      <c r="G26" s="6"/>
      <c r="H26" s="4">
        <f>IFERROR(ROUND(AVERAGE(C26:G26),0),"")</f>
      </c>
      <c r="I26" s="6"/>
      <c r="J26" s="6"/>
      <c r="K26" s="4">
        <f>IF(OR(H26="",I26="",J26=""),"",ROUND((H26*$C$4+I26*$E$4+J26*$G$4)/($C$4+$E$4+$G$4),0))</f>
      </c>
      <c r="L26" s="4">
        <f>IF(COUNT(C26:G26)=0,"",INDEX($C$7:$G$7,MATCH(MAX(C26:G26),C26:G26,0)))</f>
      </c>
      <c r="M26" s="4">
        <f>IF(COUNT(C26:G26)=0,"",INDEX($C$7:$G$7,MATCH(MIN(C26:G26),C26:G26,0)))</f>
      </c>
    </row>
    <row r="27">
      <c r="A27" s="4">
        <v>20</v>
      </c>
      <c r="B27" s="3"/>
      <c r="C27" s="6"/>
      <c r="D27" s="6"/>
      <c r="E27" s="6"/>
      <c r="F27" s="6"/>
      <c r="G27" s="6"/>
      <c r="H27" s="4">
        <f>IFERROR(ROUND(AVERAGE(C27:G27),0),"")</f>
      </c>
      <c r="I27" s="6"/>
      <c r="J27" s="6"/>
      <c r="K27" s="4">
        <f>IF(OR(H27="",I27="",J27=""),"",ROUND((H27*$C$4+I27*$E$4+J27*$G$4)/($C$4+$E$4+$G$4),0))</f>
      </c>
      <c r="L27" s="4">
        <f>IF(COUNT(C27:G27)=0,"",INDEX($C$7:$G$7,MATCH(MAX(C27:G27),C27:G27,0)))</f>
      </c>
      <c r="M27" s="4">
        <f>IF(COUNT(C27:G27)=0,"",INDEX($C$7:$G$7,MATCH(MIN(C27:G27),C27:G27,0)))</f>
      </c>
    </row>
    <row r="28">
      <c r="A28" s="4">
        <v>21</v>
      </c>
      <c r="B28" s="3"/>
      <c r="C28" s="6"/>
      <c r="D28" s="6"/>
      <c r="E28" s="6"/>
      <c r="F28" s="6"/>
      <c r="G28" s="6"/>
      <c r="H28" s="4">
        <f>IFERROR(ROUND(AVERAGE(C28:G28),0),"")</f>
      </c>
      <c r="I28" s="6"/>
      <c r="J28" s="6"/>
      <c r="K28" s="4">
        <f>IF(OR(H28="",I28="",J28=""),"",ROUND((H28*$C$4+I28*$E$4+J28*$G$4)/($C$4+$E$4+$G$4),0))</f>
      </c>
      <c r="L28" s="4">
        <f>IF(COUNT(C28:G28)=0,"",INDEX($C$7:$G$7,MATCH(MAX(C28:G28),C28:G28,0)))</f>
      </c>
      <c r="M28" s="4">
        <f>IF(COUNT(C28:G28)=0,"",INDEX($C$7:$G$7,MATCH(MIN(C28:G28),C28:G28,0)))</f>
      </c>
    </row>
    <row r="29">
      <c r="A29" s="4">
        <v>22</v>
      </c>
      <c r="B29" s="3"/>
      <c r="C29" s="6"/>
      <c r="D29" s="6"/>
      <c r="E29" s="6"/>
      <c r="F29" s="6"/>
      <c r="G29" s="6"/>
      <c r="H29" s="4">
        <f>IFERROR(ROUND(AVERAGE(C29:G29),0),"")</f>
      </c>
      <c r="I29" s="6"/>
      <c r="J29" s="6"/>
      <c r="K29" s="4">
        <f>IF(OR(H29="",I29="",J29=""),"",ROUND((H29*$C$4+I29*$E$4+J29*$G$4)/($C$4+$E$4+$G$4),0))</f>
      </c>
      <c r="L29" s="4">
        <f>IF(COUNT(C29:G29)=0,"",INDEX($C$7:$G$7,MATCH(MAX(C29:G29),C29:G29,0)))</f>
      </c>
      <c r="M29" s="4">
        <f>IF(COUNT(C29:G29)=0,"",INDEX($C$7:$G$7,MATCH(MIN(C29:G29),C29:G29,0)))</f>
      </c>
    </row>
    <row r="30">
      <c r="A30" s="4">
        <v>23</v>
      </c>
      <c r="B30" s="3"/>
      <c r="C30" s="6"/>
      <c r="D30" s="6"/>
      <c r="E30" s="6"/>
      <c r="F30" s="6"/>
      <c r="G30" s="6"/>
      <c r="H30" s="4">
        <f>IFERROR(ROUND(AVERAGE(C30:G30),0),"")</f>
      </c>
      <c r="I30" s="6"/>
      <c r="J30" s="6"/>
      <c r="K30" s="4">
        <f>IF(OR(H30="",I30="",J30=""),"",ROUND((H30*$C$4+I30*$E$4+J30*$G$4)/($C$4+$E$4+$G$4),0))</f>
      </c>
      <c r="L30" s="4">
        <f>IF(COUNT(C30:G30)=0,"",INDEX($C$7:$G$7,MATCH(MAX(C30:G30),C30:G30,0)))</f>
      </c>
      <c r="M30" s="4">
        <f>IF(COUNT(C30:G30)=0,"",INDEX($C$7:$G$7,MATCH(MIN(C30:G30),C30:G30,0)))</f>
      </c>
    </row>
    <row r="31">
      <c r="A31" s="4">
        <v>24</v>
      </c>
      <c r="B31" s="3"/>
      <c r="C31" s="6"/>
      <c r="D31" s="6"/>
      <c r="E31" s="6"/>
      <c r="F31" s="6"/>
      <c r="G31" s="6"/>
      <c r="H31" s="4">
        <f>IFERROR(ROUND(AVERAGE(C31:G31),0),"")</f>
      </c>
      <c r="I31" s="6"/>
      <c r="J31" s="6"/>
      <c r="K31" s="4">
        <f>IF(OR(H31="",I31="",J31=""),"",ROUND((H31*$C$4+I31*$E$4+J31*$G$4)/($C$4+$E$4+$G$4),0))</f>
      </c>
      <c r="L31" s="4">
        <f>IF(COUNT(C31:G31)=0,"",INDEX($C$7:$G$7,MATCH(MAX(C31:G31),C31:G31,0)))</f>
      </c>
      <c r="M31" s="4">
        <f>IF(COUNT(C31:G31)=0,"",INDEX($C$7:$G$7,MATCH(MIN(C31:G31),C31:G31,0)))</f>
      </c>
    </row>
    <row r="32">
      <c r="A32" s="4">
        <v>25</v>
      </c>
      <c r="B32" s="3"/>
      <c r="C32" s="6"/>
      <c r="D32" s="6"/>
      <c r="E32" s="6"/>
      <c r="F32" s="6"/>
      <c r="G32" s="6"/>
      <c r="H32" s="4">
        <f>IFERROR(ROUND(AVERAGE(C32:G32),0),"")</f>
      </c>
      <c r="I32" s="6"/>
      <c r="J32" s="6"/>
      <c r="K32" s="4">
        <f>IF(OR(H32="",I32="",J32=""),"",ROUND((H32*$C$4+I32*$E$4+J32*$G$4)/($C$4+$E$4+$G$4),0))</f>
      </c>
      <c r="L32" s="4">
        <f>IF(COUNT(C32:G32)=0,"",INDEX($C$7:$G$7,MATCH(MAX(C32:G32),C32:G32,0)))</f>
      </c>
      <c r="M32" s="4">
        <f>IF(COUNT(C32:G32)=0,"",INDEX($C$7:$G$7,MATCH(MIN(C32:G32),C32:G32,0)))</f>
      </c>
    </row>
    <row r="33">
      <c r="A33" s="4">
        <v>26</v>
      </c>
      <c r="B33" s="3"/>
      <c r="C33" s="6"/>
      <c r="D33" s="6"/>
      <c r="E33" s="6"/>
      <c r="F33" s="6"/>
      <c r="G33" s="6"/>
      <c r="H33" s="4">
        <f>IFERROR(ROUND(AVERAGE(C33:G33),0),"")</f>
      </c>
      <c r="I33" s="6"/>
      <c r="J33" s="6"/>
      <c r="K33" s="4">
        <f>IF(OR(H33="",I33="",J33=""),"",ROUND((H33*$C$4+I33*$E$4+J33*$G$4)/($C$4+$E$4+$G$4),0))</f>
      </c>
      <c r="L33" s="4">
        <f>IF(COUNT(C33:G33)=0,"",INDEX($C$7:$G$7,MATCH(MAX(C33:G33),C33:G33,0)))</f>
      </c>
      <c r="M33" s="4">
        <f>IF(COUNT(C33:G33)=0,"",INDEX($C$7:$G$7,MATCH(MIN(C33:G33),C33:G33,0)))</f>
      </c>
    </row>
    <row r="34">
      <c r="A34" s="4">
        <v>27</v>
      </c>
      <c r="B34" s="3"/>
      <c r="C34" s="6"/>
      <c r="D34" s="6"/>
      <c r="E34" s="6"/>
      <c r="F34" s="6"/>
      <c r="G34" s="6"/>
      <c r="H34" s="4">
        <f>IFERROR(ROUND(AVERAGE(C34:G34),0),"")</f>
      </c>
      <c r="I34" s="6"/>
      <c r="J34" s="6"/>
      <c r="K34" s="4">
        <f>IF(OR(H34="",I34="",J34=""),"",ROUND((H34*$C$4+I34*$E$4+J34*$G$4)/($C$4+$E$4+$G$4),0))</f>
      </c>
      <c r="L34" s="4">
        <f>IF(COUNT(C34:G34)=0,"",INDEX($C$7:$G$7,MATCH(MAX(C34:G34),C34:G34,0)))</f>
      </c>
      <c r="M34" s="4">
        <f>IF(COUNT(C34:G34)=0,"",INDEX($C$7:$G$7,MATCH(MIN(C34:G34),C34:G34,0)))</f>
      </c>
    </row>
    <row r="35">
      <c r="A35" s="4">
        <v>28</v>
      </c>
      <c r="B35" s="3"/>
      <c r="C35" s="6"/>
      <c r="D35" s="6"/>
      <c r="E35" s="6"/>
      <c r="F35" s="6"/>
      <c r="G35" s="6"/>
      <c r="H35" s="4">
        <f>IFERROR(ROUND(AVERAGE(C35:G35),0),"")</f>
      </c>
      <c r="I35" s="6"/>
      <c r="J35" s="6"/>
      <c r="K35" s="4">
        <f>IF(OR(H35="",I35="",J35=""),"",ROUND((H35*$C$4+I35*$E$4+J35*$G$4)/($C$4+$E$4+$G$4),0))</f>
      </c>
      <c r="L35" s="4">
        <f>IF(COUNT(C35:G35)=0,"",INDEX($C$7:$G$7,MATCH(MAX(C35:G35),C35:G35,0)))</f>
      </c>
      <c r="M35" s="4">
        <f>IF(COUNT(C35:G35)=0,"",INDEX($C$7:$G$7,MATCH(MIN(C35:G35),C35:G35,0)))</f>
      </c>
    </row>
  </sheetData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>
  <cols>
    <col min="1" max="1" width="8" customWidth="1"/>
    <col min="2" max="2" width="90" customWidth="1"/>
    <col min="3" max="3" width="6" customWidth="1"/>
  </cols>
  <sheetData>
    <row r="1">
      <c r="A1" s="1" t="inlineStr">
        <is>
          <t xml:space="preserve">Keterangan Tujuan Pembelajaran</t>
        </is>
      </c>
    </row>
    <row r="2"/>
    <row r="3">
      <c r="A3" s="2" t="inlineStr">
        <is>
          <t xml:space="preserve">Kode</t>
        </is>
      </c>
      <c r="B3" s="2" t="inlineStr">
        <is>
          <t xml:space="preserve">Tujuan pembelajaran</t>
        </is>
      </c>
      <c r="C3" s="2" t="inlineStr">
        <is>
          <t xml:space="preserve">JP</t>
        </is>
      </c>
    </row>
    <row r="4">
      <c r="A4" s="4" t="inlineStr">
        <is>
          <t xml:space="preserve">TP1</t>
        </is>
      </c>
      <c r="B4" s="3" t="inlineStr">
        <is>
          <t xml:space="preserve">Membaca, menulis, dan membandingkan bilangan cacah sampai 10.000 berdasarkan nilai tempat</t>
        </is>
      </c>
      <c r="C4" s="4">
        <v>15</v>
      </c>
    </row>
    <row r="5">
      <c r="A5" s="4" t="inlineStr">
        <is>
          <t xml:space="preserve">TP2</t>
        </is>
      </c>
      <c r="B5" s="3" t="inlineStr">
        <is>
          <t xml:space="preserve">Menyelesaikan masalah penjumlahan dan pengurangan bilangan cacah sampai 1.000</t>
        </is>
      </c>
      <c r="C5" s="4">
        <v>15</v>
      </c>
    </row>
    <row r="6">
      <c r="A6" s="4" t="inlineStr">
        <is>
          <t xml:space="preserve">TP3</t>
        </is>
      </c>
      <c r="B6" s="3" t="inlineStr">
        <is>
          <t xml:space="preserve">Menyelesaikan masalah perkalian dan pembagian bilangan cacah sampai 100</t>
        </is>
      </c>
      <c r="C6" s="4">
        <v>15</v>
      </c>
    </row>
    <row r="7">
      <c r="A7" s="4" t="inlineStr">
        <is>
          <t xml:space="preserve">TP4</t>
        </is>
      </c>
      <c r="B7" s="3" t="inlineStr">
        <is>
          <t xml:space="preserve">Menentukan nilai yang tidak diketahui dalam kalimat matematika dan melanjutkan pola</t>
        </is>
      </c>
      <c r="C7" s="4">
        <v>15</v>
      </c>
    </row>
    <row r="8">
      <c r="A8" s="4" t="inlineStr">
        <is>
          <t xml:space="preserve">TP5</t>
        </is>
      </c>
      <c r="B8" s="3" t="inlineStr">
        <is>
          <t xml:space="preserve">Mengukur panjang dan berat dengan satuan baku dan mengonversi antarsatuan</t>
        </is>
      </c>
      <c r="C8" s="4">
        <v>20</v>
      </c>
    </row>
    <row r="9"/>
    <row r="10">
      <c r="A10" s="5" t="inlineStr">
        <is>
          <t xml:space="preserve">TP tertinggi dan terendah membantu menulis deskripsi capaian di rapor.</t>
        </is>
      </c>
    </row>
  </sheetData>
  <pageMargins left="0.5" right="0.5" top="0.5" bottom="0.5" header="0.3" footer="0.3"/>
  <pageSetup paperSize="9" orientation="landscape"/>
</worksheet>
</file>