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ktober 2026" sheetId="1" r:id="rId1"/>
  </sheets>
  <calcPr calcId="191029" fullCalcOnLoad="1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4"/>
      <name val="Arial"/>
    </font>
    <font>
      <b/>
      <sz val="10"/>
      <name val="Arial"/>
    </font>
    <font>
      <i/>
      <sz val="9"/>
      <color rgb="FF595959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0" fillId="3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2" ySplit="6" topLeftCell="C7" activePane="bottomRight" state="frozen"/>
    </sheetView>
  </sheetViews>
  <cols>
    <col min="1" max="1" width="5" customWidth="1"/>
    <col min="2" max="2" width="28" customWidth="1"/>
    <col min="3" max="3" width="4.3" customWidth="1"/>
    <col min="4" max="4" width="4.3" customWidth="1"/>
    <col min="5" max="5" width="4.3" customWidth="1"/>
    <col min="6" max="6" width="4.3" customWidth="1"/>
    <col min="7" max="7" width="4.3" customWidth="1"/>
    <col min="8" max="8" width="4.3" customWidth="1"/>
    <col min="9" max="9" width="4.3" customWidth="1"/>
    <col min="10" max="10" width="4.3" customWidth="1"/>
    <col min="11" max="11" width="4.3" customWidth="1"/>
    <col min="12" max="12" width="4.3" customWidth="1"/>
    <col min="13" max="13" width="4.3" customWidth="1"/>
    <col min="14" max="14" width="4.3" customWidth="1"/>
    <col min="15" max="15" width="4.3" customWidth="1"/>
    <col min="16" max="16" width="4.3" customWidth="1"/>
    <col min="17" max="17" width="4.3" customWidth="1"/>
    <col min="18" max="18" width="4.3" customWidth="1"/>
    <col min="19" max="19" width="4.3" customWidth="1"/>
    <col min="20" max="20" width="4.3" customWidth="1"/>
    <col min="21" max="21" width="4.3" customWidth="1"/>
    <col min="22" max="22" width="4.3" customWidth="1"/>
    <col min="23" max="23" width="4.3" customWidth="1"/>
    <col min="24" max="24" width="4.3" customWidth="1"/>
    <col min="25" max="25" width="5" customWidth="1"/>
    <col min="26" max="26" width="5" customWidth="1"/>
    <col min="27" max="27" width="5" customWidth="1"/>
    <col min="28" max="28" width="5" customWidth="1"/>
    <col min="29" max="29" width="9" customWidth="1"/>
  </cols>
  <sheetData>
    <row r="1">
      <c r="A1" s="1" t="inlineStr">
        <is>
          <t xml:space="preserve">DAFTAR HADIR SISWA — KELAS 4 — OKTOBER 2026</t>
        </is>
      </c>
    </row>
    <row r="2">
      <c r="A2" t="inlineStr">
        <is>
          <t xml:space="preserve">Sekolah: ............    Guru: Bu Rina    Tahun ajaran: 2026/2027</t>
        </is>
      </c>
    </row>
    <row r="3">
      <c r="A3" s="5" t="inlineStr">
        <is>
          <t xml:space="preserve">Cara isi: tulis S (sakit), I (izin), atau A (alpa). Sel kosong berarti hadir. Kolom S, I, A, H, dan % terhitung otomatis.</t>
        </is>
      </c>
    </row>
    <row r="4">
      <c r="A4" s="5" t="inlineStr">
        <is>
          <t xml:space="preserve">Ketik nama siswa langsung di berkas ini. Jangan menempelkan nama siswa ke percakapan asisten.</t>
        </is>
      </c>
    </row>
    <row r="5">
      <c r="A5" s="2" t="inlineStr">
        <is>
          <t xml:space="preserve">No</t>
        </is>
      </c>
      <c r="B5" s="2" t="inlineStr">
        <is>
          <t xml:space="preserve">Nama siswa</t>
        </is>
      </c>
      <c r="C5" s="2">
        <v>1</v>
      </c>
      <c r="D5" s="2">
        <v>2</v>
      </c>
      <c r="E5" s="2">
        <v>5</v>
      </c>
      <c r="F5" s="2">
        <v>6</v>
      </c>
      <c r="G5" s="2">
        <v>7</v>
      </c>
      <c r="H5" s="2">
        <v>8</v>
      </c>
      <c r="I5" s="2">
        <v>9</v>
      </c>
      <c r="J5" s="2">
        <v>12</v>
      </c>
      <c r="K5" s="2">
        <v>13</v>
      </c>
      <c r="L5" s="2">
        <v>14</v>
      </c>
      <c r="M5" s="2">
        <v>15</v>
      </c>
      <c r="N5" s="2">
        <v>16</v>
      </c>
      <c r="O5" s="2">
        <v>19</v>
      </c>
      <c r="P5" s="2">
        <v>20</v>
      </c>
      <c r="Q5" s="2">
        <v>21</v>
      </c>
      <c r="R5" s="2">
        <v>22</v>
      </c>
      <c r="S5" s="2">
        <v>23</v>
      </c>
      <c r="T5" s="2">
        <v>26</v>
      </c>
      <c r="U5" s="2">
        <v>27</v>
      </c>
      <c r="V5" s="2">
        <v>28</v>
      </c>
      <c r="W5" s="2">
        <v>29</v>
      </c>
      <c r="X5" s="2">
        <v>30</v>
      </c>
      <c r="Y5" s="2" t="inlineStr">
        <is>
          <t xml:space="preserve">S</t>
        </is>
      </c>
      <c r="Z5" s="2" t="inlineStr">
        <is>
          <t xml:space="preserve">I</t>
        </is>
      </c>
      <c r="AA5" s="2" t="inlineStr">
        <is>
          <t xml:space="preserve">A</t>
        </is>
      </c>
      <c r="AB5" s="2" t="inlineStr">
        <is>
          <t xml:space="preserve">H</t>
        </is>
      </c>
      <c r="AC5" s="2" t="inlineStr">
        <is>
          <t xml:space="preserve">% Hadir</t>
        </is>
      </c>
    </row>
    <row r="6">
      <c r="A6" s="2"/>
      <c r="B6" s="2"/>
      <c r="C6" s="2" t="inlineStr">
        <is>
          <t xml:space="preserve">Kam</t>
        </is>
      </c>
      <c r="D6" s="2" t="inlineStr">
        <is>
          <t xml:space="preserve">Jum</t>
        </is>
      </c>
      <c r="E6" s="2" t="inlineStr">
        <is>
          <t xml:space="preserve">Sen</t>
        </is>
      </c>
      <c r="F6" s="2" t="inlineStr">
        <is>
          <t xml:space="preserve">Sel</t>
        </is>
      </c>
      <c r="G6" s="2" t="inlineStr">
        <is>
          <t xml:space="preserve">Rab</t>
        </is>
      </c>
      <c r="H6" s="2" t="inlineStr">
        <is>
          <t xml:space="preserve">Kam</t>
        </is>
      </c>
      <c r="I6" s="2" t="inlineStr">
        <is>
          <t xml:space="preserve">Jum</t>
        </is>
      </c>
      <c r="J6" s="2" t="inlineStr">
        <is>
          <t xml:space="preserve">Sen</t>
        </is>
      </c>
      <c r="K6" s="2" t="inlineStr">
        <is>
          <t xml:space="preserve">Sel</t>
        </is>
      </c>
      <c r="L6" s="2" t="inlineStr">
        <is>
          <t xml:space="preserve">Rab</t>
        </is>
      </c>
      <c r="M6" s="2" t="inlineStr">
        <is>
          <t xml:space="preserve">Kam</t>
        </is>
      </c>
      <c r="N6" s="2" t="inlineStr">
        <is>
          <t xml:space="preserve">Jum</t>
        </is>
      </c>
      <c r="O6" s="2" t="inlineStr">
        <is>
          <t xml:space="preserve">Sen</t>
        </is>
      </c>
      <c r="P6" s="2" t="inlineStr">
        <is>
          <t xml:space="preserve">Sel</t>
        </is>
      </c>
      <c r="Q6" s="2" t="inlineStr">
        <is>
          <t xml:space="preserve">Rab</t>
        </is>
      </c>
      <c r="R6" s="2" t="inlineStr">
        <is>
          <t xml:space="preserve">Kam</t>
        </is>
      </c>
      <c r="S6" s="2" t="inlineStr">
        <is>
          <t xml:space="preserve">Jum</t>
        </is>
      </c>
      <c r="T6" s="2" t="inlineStr">
        <is>
          <t xml:space="preserve">Sen</t>
        </is>
      </c>
      <c r="U6" s="2" t="inlineStr">
        <is>
          <t xml:space="preserve">Sel</t>
        </is>
      </c>
      <c r="V6" s="2" t="inlineStr">
        <is>
          <t xml:space="preserve">Rab</t>
        </is>
      </c>
      <c r="W6" s="2" t="inlineStr">
        <is>
          <t xml:space="preserve">Kam</t>
        </is>
      </c>
      <c r="X6" s="2" t="inlineStr">
        <is>
          <t xml:space="preserve">Jum</t>
        </is>
      </c>
      <c r="Y6" s="2"/>
      <c r="Z6" s="2"/>
      <c r="AA6" s="2"/>
      <c r="AB6" s="2"/>
      <c r="AC6" s="2"/>
    </row>
    <row r="7">
      <c r="A7" s="4">
        <v>1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>
        <f>COUNTIF(C7:X7,"S")</f>
      </c>
      <c r="Z7" s="4">
        <f>COUNTIF(C7:X7,"I")</f>
      </c>
      <c r="AA7" s="4">
        <f>COUNTIF(C7:X7,"A")</f>
      </c>
      <c r="AB7" s="4">
        <f>22-Y7-Z7-AA7</f>
      </c>
      <c r="AC7" s="7">
        <f>AB7/22</f>
      </c>
    </row>
    <row r="8">
      <c r="A8" s="4">
        <v>2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>
        <f>COUNTIF(C8:X8,"S")</f>
      </c>
      <c r="Z8" s="4">
        <f>COUNTIF(C8:X8,"I")</f>
      </c>
      <c r="AA8" s="4">
        <f>COUNTIF(C8:X8,"A")</f>
      </c>
      <c r="AB8" s="4">
        <f>22-Y8-Z8-AA8</f>
      </c>
      <c r="AC8" s="7">
        <f>AB8/22</f>
      </c>
    </row>
    <row r="9">
      <c r="A9" s="4">
        <v>3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>
        <f>COUNTIF(C9:X9,"S")</f>
      </c>
      <c r="Z9" s="4">
        <f>COUNTIF(C9:X9,"I")</f>
      </c>
      <c r="AA9" s="4">
        <f>COUNTIF(C9:X9,"A")</f>
      </c>
      <c r="AB9" s="4">
        <f>22-Y9-Z9-AA9</f>
      </c>
      <c r="AC9" s="7">
        <f>AB9/22</f>
      </c>
    </row>
    <row r="10">
      <c r="A10" s="4">
        <v>4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>
        <f>COUNTIF(C10:X10,"S")</f>
      </c>
      <c r="Z10" s="4">
        <f>COUNTIF(C10:X10,"I")</f>
      </c>
      <c r="AA10" s="4">
        <f>COUNTIF(C10:X10,"A")</f>
      </c>
      <c r="AB10" s="4">
        <f>22-Y10-Z10-AA10</f>
      </c>
      <c r="AC10" s="7">
        <f>AB10/22</f>
      </c>
    </row>
    <row r="11">
      <c r="A11" s="4">
        <v>5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>
        <f>COUNTIF(C11:X11,"S")</f>
      </c>
      <c r="Z11" s="4">
        <f>COUNTIF(C11:X11,"I")</f>
      </c>
      <c r="AA11" s="4">
        <f>COUNTIF(C11:X11,"A")</f>
      </c>
      <c r="AB11" s="4">
        <f>22-Y11-Z11-AA11</f>
      </c>
      <c r="AC11" s="7">
        <f>AB11/22</f>
      </c>
    </row>
    <row r="12">
      <c r="A12" s="4">
        <v>6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>
        <f>COUNTIF(C12:X12,"S")</f>
      </c>
      <c r="Z12" s="4">
        <f>COUNTIF(C12:X12,"I")</f>
      </c>
      <c r="AA12" s="4">
        <f>COUNTIF(C12:X12,"A")</f>
      </c>
      <c r="AB12" s="4">
        <f>22-Y12-Z12-AA12</f>
      </c>
      <c r="AC12" s="7">
        <f>AB12/22</f>
      </c>
    </row>
    <row r="13">
      <c r="A13" s="4">
        <v>7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>
        <f>COUNTIF(C13:X13,"S")</f>
      </c>
      <c r="Z13" s="4">
        <f>COUNTIF(C13:X13,"I")</f>
      </c>
      <c r="AA13" s="4">
        <f>COUNTIF(C13:X13,"A")</f>
      </c>
      <c r="AB13" s="4">
        <f>22-Y13-Z13-AA13</f>
      </c>
      <c r="AC13" s="7">
        <f>AB13/22</f>
      </c>
    </row>
    <row r="14">
      <c r="A14" s="4">
        <v>8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>
        <f>COUNTIF(C14:X14,"S")</f>
      </c>
      <c r="Z14" s="4">
        <f>COUNTIF(C14:X14,"I")</f>
      </c>
      <c r="AA14" s="4">
        <f>COUNTIF(C14:X14,"A")</f>
      </c>
      <c r="AB14" s="4">
        <f>22-Y14-Z14-AA14</f>
      </c>
      <c r="AC14" s="7">
        <f>AB14/22</f>
      </c>
    </row>
    <row r="15">
      <c r="A15" s="4">
        <v>9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>
        <f>COUNTIF(C15:X15,"S")</f>
      </c>
      <c r="Z15" s="4">
        <f>COUNTIF(C15:X15,"I")</f>
      </c>
      <c r="AA15" s="4">
        <f>COUNTIF(C15:X15,"A")</f>
      </c>
      <c r="AB15" s="4">
        <f>22-Y15-Z15-AA15</f>
      </c>
      <c r="AC15" s="7">
        <f>AB15/22</f>
      </c>
    </row>
    <row r="16">
      <c r="A16" s="4">
        <v>10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>
        <f>COUNTIF(C16:X16,"S")</f>
      </c>
      <c r="Z16" s="4">
        <f>COUNTIF(C16:X16,"I")</f>
      </c>
      <c r="AA16" s="4">
        <f>COUNTIF(C16:X16,"A")</f>
      </c>
      <c r="AB16" s="4">
        <f>22-Y16-Z16-AA16</f>
      </c>
      <c r="AC16" s="7">
        <f>AB16/22</f>
      </c>
    </row>
    <row r="17">
      <c r="A17" s="4">
        <v>11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>
        <f>COUNTIF(C17:X17,"S")</f>
      </c>
      <c r="Z17" s="4">
        <f>COUNTIF(C17:X17,"I")</f>
      </c>
      <c r="AA17" s="4">
        <f>COUNTIF(C17:X17,"A")</f>
      </c>
      <c r="AB17" s="4">
        <f>22-Y17-Z17-AA17</f>
      </c>
      <c r="AC17" s="7">
        <f>AB17/22</f>
      </c>
    </row>
    <row r="18">
      <c r="A18" s="4">
        <v>12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>
        <f>COUNTIF(C18:X18,"S")</f>
      </c>
      <c r="Z18" s="4">
        <f>COUNTIF(C18:X18,"I")</f>
      </c>
      <c r="AA18" s="4">
        <f>COUNTIF(C18:X18,"A")</f>
      </c>
      <c r="AB18" s="4">
        <f>22-Y18-Z18-AA18</f>
      </c>
      <c r="AC18" s="7">
        <f>AB18/22</f>
      </c>
    </row>
    <row r="19">
      <c r="A19" s="4">
        <v>13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>
        <f>COUNTIF(C19:X19,"S")</f>
      </c>
      <c r="Z19" s="4">
        <f>COUNTIF(C19:X19,"I")</f>
      </c>
      <c r="AA19" s="4">
        <f>COUNTIF(C19:X19,"A")</f>
      </c>
      <c r="AB19" s="4">
        <f>22-Y19-Z19-AA19</f>
      </c>
      <c r="AC19" s="7">
        <f>AB19/22</f>
      </c>
    </row>
    <row r="20">
      <c r="A20" s="4">
        <v>14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>
        <f>COUNTIF(C20:X20,"S")</f>
      </c>
      <c r="Z20" s="4">
        <f>COUNTIF(C20:X20,"I")</f>
      </c>
      <c r="AA20" s="4">
        <f>COUNTIF(C20:X20,"A")</f>
      </c>
      <c r="AB20" s="4">
        <f>22-Y20-Z20-AA20</f>
      </c>
      <c r="AC20" s="7">
        <f>AB20/22</f>
      </c>
    </row>
    <row r="21">
      <c r="A21" s="4">
        <v>15</v>
      </c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>
        <f>COUNTIF(C21:X21,"S")</f>
      </c>
      <c r="Z21" s="4">
        <f>COUNTIF(C21:X21,"I")</f>
      </c>
      <c r="AA21" s="4">
        <f>COUNTIF(C21:X21,"A")</f>
      </c>
      <c r="AB21" s="4">
        <f>22-Y21-Z21-AA21</f>
      </c>
      <c r="AC21" s="7">
        <f>AB21/22</f>
      </c>
    </row>
    <row r="22">
      <c r="A22" s="4">
        <v>16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>
        <f>COUNTIF(C22:X22,"S")</f>
      </c>
      <c r="Z22" s="4">
        <f>COUNTIF(C22:X22,"I")</f>
      </c>
      <c r="AA22" s="4">
        <f>COUNTIF(C22:X22,"A")</f>
      </c>
      <c r="AB22" s="4">
        <f>22-Y22-Z22-AA22</f>
      </c>
      <c r="AC22" s="7">
        <f>AB22/22</f>
      </c>
    </row>
    <row r="23">
      <c r="A23" s="4">
        <v>17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>
        <f>COUNTIF(C23:X23,"S")</f>
      </c>
      <c r="Z23" s="4">
        <f>COUNTIF(C23:X23,"I")</f>
      </c>
      <c r="AA23" s="4">
        <f>COUNTIF(C23:X23,"A")</f>
      </c>
      <c r="AB23" s="4">
        <f>22-Y23-Z23-AA23</f>
      </c>
      <c r="AC23" s="7">
        <f>AB23/22</f>
      </c>
    </row>
    <row r="24">
      <c r="A24" s="4">
        <v>18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>
        <f>COUNTIF(C24:X24,"S")</f>
      </c>
      <c r="Z24" s="4">
        <f>COUNTIF(C24:X24,"I")</f>
      </c>
      <c r="AA24" s="4">
        <f>COUNTIF(C24:X24,"A")</f>
      </c>
      <c r="AB24" s="4">
        <f>22-Y24-Z24-AA24</f>
      </c>
      <c r="AC24" s="7">
        <f>AB24/22</f>
      </c>
    </row>
    <row r="25">
      <c r="A25" s="4">
        <v>19</v>
      </c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>
        <f>COUNTIF(C25:X25,"S")</f>
      </c>
      <c r="Z25" s="4">
        <f>COUNTIF(C25:X25,"I")</f>
      </c>
      <c r="AA25" s="4">
        <f>COUNTIF(C25:X25,"A")</f>
      </c>
      <c r="AB25" s="4">
        <f>22-Y25-Z25-AA25</f>
      </c>
      <c r="AC25" s="7">
        <f>AB25/22</f>
      </c>
    </row>
    <row r="26">
      <c r="A26" s="4">
        <v>20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>
        <f>COUNTIF(C26:X26,"S")</f>
      </c>
      <c r="Z26" s="4">
        <f>COUNTIF(C26:X26,"I")</f>
      </c>
      <c r="AA26" s="4">
        <f>COUNTIF(C26:X26,"A")</f>
      </c>
      <c r="AB26" s="4">
        <f>22-Y26-Z26-AA26</f>
      </c>
      <c r="AC26" s="7">
        <f>AB26/22</f>
      </c>
    </row>
    <row r="27">
      <c r="A27" s="4">
        <v>21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>
        <f>COUNTIF(C27:X27,"S")</f>
      </c>
      <c r="Z27" s="4">
        <f>COUNTIF(C27:X27,"I")</f>
      </c>
      <c r="AA27" s="4">
        <f>COUNTIF(C27:X27,"A")</f>
      </c>
      <c r="AB27" s="4">
        <f>22-Y27-Z27-AA27</f>
      </c>
      <c r="AC27" s="7">
        <f>AB27/22</f>
      </c>
    </row>
    <row r="28">
      <c r="A28" s="4">
        <v>22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>
        <f>COUNTIF(C28:X28,"S")</f>
      </c>
      <c r="Z28" s="4">
        <f>COUNTIF(C28:X28,"I")</f>
      </c>
      <c r="AA28" s="4">
        <f>COUNTIF(C28:X28,"A")</f>
      </c>
      <c r="AB28" s="4">
        <f>22-Y28-Z28-AA28</f>
      </c>
      <c r="AC28" s="7">
        <f>AB28/22</f>
      </c>
    </row>
    <row r="29">
      <c r="A29" s="4">
        <v>23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>
        <f>COUNTIF(C29:X29,"S")</f>
      </c>
      <c r="Z29" s="4">
        <f>COUNTIF(C29:X29,"I")</f>
      </c>
      <c r="AA29" s="4">
        <f>COUNTIF(C29:X29,"A")</f>
      </c>
      <c r="AB29" s="4">
        <f>22-Y29-Z29-AA29</f>
      </c>
      <c r="AC29" s="7">
        <f>AB29/22</f>
      </c>
    </row>
    <row r="30">
      <c r="A30" s="4">
        <v>24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>
        <f>COUNTIF(C30:X30,"S")</f>
      </c>
      <c r="Z30" s="4">
        <f>COUNTIF(C30:X30,"I")</f>
      </c>
      <c r="AA30" s="4">
        <f>COUNTIF(C30:X30,"A")</f>
      </c>
      <c r="AB30" s="4">
        <f>22-Y30-Z30-AA30</f>
      </c>
      <c r="AC30" s="7">
        <f>AB30/22</f>
      </c>
    </row>
    <row r="31">
      <c r="A31" s="4">
        <v>25</v>
      </c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>
        <f>COUNTIF(C31:X31,"S")</f>
      </c>
      <c r="Z31" s="4">
        <f>COUNTIF(C31:X31,"I")</f>
      </c>
      <c r="AA31" s="4">
        <f>COUNTIF(C31:X31,"A")</f>
      </c>
      <c r="AB31" s="4">
        <f>22-Y31-Z31-AA31</f>
      </c>
      <c r="AC31" s="7">
        <f>AB31/22</f>
      </c>
    </row>
    <row r="32">
      <c r="A32" s="4">
        <v>26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>
        <f>COUNTIF(C32:X32,"S")</f>
      </c>
      <c r="Z32" s="4">
        <f>COUNTIF(C32:X32,"I")</f>
      </c>
      <c r="AA32" s="4">
        <f>COUNTIF(C32:X32,"A")</f>
      </c>
      <c r="AB32" s="4">
        <f>22-Y32-Z32-AA32</f>
      </c>
      <c r="AC32" s="7">
        <f>AB32/22</f>
      </c>
    </row>
    <row r="33">
      <c r="A33" s="4">
        <v>27</v>
      </c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>
        <f>COUNTIF(C33:X33,"S")</f>
      </c>
      <c r="Z33" s="4">
        <f>COUNTIF(C33:X33,"I")</f>
      </c>
      <c r="AA33" s="4">
        <f>COUNTIF(C33:X33,"A")</f>
      </c>
      <c r="AB33" s="4">
        <f>22-Y33-Z33-AA33</f>
      </c>
      <c r="AC33" s="7">
        <f>AB33/22</f>
      </c>
    </row>
    <row r="34">
      <c r="A34" s="4">
        <v>28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>
        <f>COUNTIF(C34:X34,"S")</f>
      </c>
      <c r="Z34" s="4">
        <f>COUNTIF(C34:X34,"I")</f>
      </c>
      <c r="AA34" s="4">
        <f>COUNTIF(C34:X34,"A")</f>
      </c>
      <c r="AB34" s="4">
        <f>22-Y34-Z34-AA34</f>
      </c>
      <c r="AC34" s="7">
        <f>AB34/22</f>
      </c>
    </row>
    <row r="35">
      <c r="A35" s="2"/>
      <c r="B35" s="2" t="inlineStr">
        <is>
          <t xml:space="preserve">Tidak hadir per hari</t>
        </is>
      </c>
      <c r="C35" s="4">
        <f>COUNTA(C7:C34)</f>
      </c>
      <c r="D35" s="4">
        <f>COUNTA(D7:D34)</f>
      </c>
      <c r="E35" s="4">
        <f>COUNTA(E7:E34)</f>
      </c>
      <c r="F35" s="4">
        <f>COUNTA(F7:F34)</f>
      </c>
      <c r="G35" s="4">
        <f>COUNTA(G7:G34)</f>
      </c>
      <c r="H35" s="4">
        <f>COUNTA(H7:H34)</f>
      </c>
      <c r="I35" s="4">
        <f>COUNTA(I7:I34)</f>
      </c>
      <c r="J35" s="4">
        <f>COUNTA(J7:J34)</f>
      </c>
      <c r="K35" s="4">
        <f>COUNTA(K7:K34)</f>
      </c>
      <c r="L35" s="4">
        <f>COUNTA(L7:L34)</f>
      </c>
      <c r="M35" s="4">
        <f>COUNTA(M7:M34)</f>
      </c>
      <c r="N35" s="4">
        <f>COUNTA(N7:N34)</f>
      </c>
      <c r="O35" s="4">
        <f>COUNTA(O7:O34)</f>
      </c>
      <c r="P35" s="4">
        <f>COUNTA(P7:P34)</f>
      </c>
      <c r="Q35" s="4">
        <f>COUNTA(Q7:Q34)</f>
      </c>
      <c r="R35" s="4">
        <f>COUNTA(R7:R34)</f>
      </c>
      <c r="S35" s="4">
        <f>COUNTA(S7:S34)</f>
      </c>
      <c r="T35" s="4">
        <f>COUNTA(T7:T34)</f>
      </c>
      <c r="U35" s="4">
        <f>COUNTA(U7:U34)</f>
      </c>
      <c r="V35" s="4">
        <f>COUNTA(V7:V34)</f>
      </c>
      <c r="W35" s="4">
        <f>COUNTA(W7:W34)</f>
      </c>
      <c r="X35" s="4">
        <f>COUNTA(X7:X34)</f>
      </c>
      <c r="Y35" s="4">
        <f>SUM(Y7:Y34)</f>
      </c>
      <c r="Z35" s="4">
        <f>SUM(Z7:Z34)</f>
      </c>
      <c r="AA35" s="4">
        <f>SUM(AA7:AA34)</f>
      </c>
      <c r="AB35" s="4"/>
      <c r="AC35" s="7">
        <f>IFERROR(AVERAGE(AC7:AC34),"")</f>
      </c>
    </row>
    <row r="36"/>
    <row r="37">
      <c r="A37" s="5" t="inlineStr">
        <is>
          <t xml:space="preserve">Jumlah hari sekolah: 22. </t>
        </is>
      </c>
    </row>
    <row r="38">
      <c r="A38" t="inlineStr">
        <is>
          <t xml:space="preserve">Mengetahui, Kepala Sekolah</t>
        </is>
      </c>
      <c r="U38" t="inlineStr">
        <is>
          <t xml:space="preserve">Guru Kelas</t>
        </is>
      </c>
    </row>
  </sheetData>
  <mergeCells count="7">
    <mergeCell ref="A5:A6"/>
    <mergeCell ref="B5:B6"/>
    <mergeCell ref="Y5:Y6"/>
    <mergeCell ref="Z5:Z6"/>
    <mergeCell ref="AA5:AA6"/>
    <mergeCell ref="AB5:AB6"/>
    <mergeCell ref="AC5:AC6"/>
  </mergeCells>
  <pageMargins left="0.5" right="0.5" top="0.5" bottom="0.5" header="0.3" footer="0.3"/>
  <pageSetup paperSize="9" orientation="landscape"/>
</worksheet>
</file>